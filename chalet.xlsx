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7B5163A6-59C1-4EF8-AB1B-A017D0688785}" xr6:coauthVersionLast="47" xr6:coauthVersionMax="47" xr10:uidLastSave="{00000000-0000-0000-0000-000000000000}"/>
  <bookViews>
    <workbookView xWindow="28740" yWindow="12600" windowWidth="28935" windowHeight="19185" xr2:uid="{00000000-000D-0000-FFFF-FFFF00000000}"/>
  </bookViews>
  <sheets>
    <sheet name="Pool" sheetId="16" r:id="rId1"/>
    <sheet name="Résultats" sheetId="7" r:id="rId2"/>
    <sheet name="Règlements" sheetId="17" r:id="rId3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D25" i="16"/>
  <c r="D26" i="16" s="1"/>
  <c r="L21" i="16"/>
  <c r="L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N7" i="16"/>
  <c r="N32" i="16" s="1"/>
  <c r="N33" i="16" s="1"/>
  <c r="Y7" i="16"/>
  <c r="J7" i="16"/>
  <c r="X7" i="16"/>
  <c r="T32" i="16" l="1"/>
  <c r="T33" i="16" s="1"/>
  <c r="T17" i="16"/>
  <c r="T18" i="16" s="1"/>
  <c r="D33" i="16"/>
  <c r="L32" i="16"/>
  <c r="L33" i="16" s="1"/>
  <c r="L25" i="16"/>
  <c r="L26" i="16" s="1"/>
  <c r="F32" i="16"/>
  <c r="F33" i="16" s="1"/>
  <c r="F21" i="16"/>
  <c r="F22" i="16" s="1"/>
  <c r="W33" i="16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<sst xmlns="http://schemas.openxmlformats.org/spreadsheetml/2006/main" count="102" uniqueCount="69">
  <si>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</si>
  <si>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</si>
  <si>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</si>
  <si>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</si>
  <si>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</si>
  <si>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</si>
  <si>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</si>
  <si>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</si>
  <si>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</si>
  <si>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</si>
  <si>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</si>
  <si>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</si>
  <si>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</si>
  <si>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</si>
  <si>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</si>
  <si>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</si>
  <si>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</si>
  <si>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</si>
  <si>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</si>
  <si>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</si>
  <si>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</si>
  <si>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</si>
  <si>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</si>
  <si>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</si>
  <si>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</si>
  <si>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</si>
  <si>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</si>
  <si>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</si>
  <si>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</si>
  <si>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</si>
  <si>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</si>
  <si>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</si>
  <si>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</si>
  <si>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</si>
  <si>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</si>
  <si>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</si>
  <si>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</si>
  <si>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</si>
  <si>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</si>
  <si>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</si>
  <si>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</si>
  <si>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</si>
  <si>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</si>
  <si>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</si>
  <si>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</si>
  <si>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</si>
  <si>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</si>
  <si>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</si>
  <si>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</si>
  <si>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</si>
  <si>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</si>
  <si>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</si>
  <si>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</si>
  <si>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</si>
  <si>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</si>
  <si>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</si>
  <si>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</si>
  <si>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</si>
  <si>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</si>
  <si>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</si>
  <si>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</si>
  <si>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</si>
  <si>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</si>
  <si>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Marco</t>
  </si>
  <si>
    <t>Alain</t>
  </si>
  <si>
    <t>Ray</t>
  </si>
  <si>
    <t>https://staker4.github.io/pool/chalet.pdf</t>
  </si>
  <si>
    <t>God</t>
  </si>
  <si>
    <t>Fred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</si>
</sst>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21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65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9" fillId="0" borderId="31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11" fillId="0" borderId="27" xfId="0" applyFont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  <xf numFmtId="0" fontId="14" fillId="7" borderId="27" xfId="0" applyFont="1" applyFill="1" applyBorder="1" applyAlignment="1">
      <alignment horizontal="center"/>
    </xf>
    <xf numFmtId="0" fontId="11" fillId="8" borderId="23" xfId="0" applyFont="1" applyFill="1" applyBorder="1" applyAlignment="1">
      <alignment horizontal="center" vertical="center" textRotation="90"/>
    </xf>
    <xf numFmtId="0" fontId="11" fillId="8" borderId="99" xfId="0" applyFont="1" applyFill="1" applyBorder="1" applyAlignment="1">
      <alignment horizontal="center" vertical="center" textRotation="90"/>
    </xf>
    <xf numFmtId="0" fontId="9" fillId="8" borderId="31" xfId="0" applyFont="1" applyFill="1" applyBorder="1" applyAlignment="1">
      <alignment horizontal="center" textRotation="90"/>
    </xf>
    <xf numFmtId="0" fontId="9" fillId="8" borderId="51" xfId="0" applyFont="1" applyFill="1" applyBorder="1" applyAlignment="1">
      <alignment horizontal="center" vertical="center" textRotation="90"/>
    </xf>
    <xf numFmtId="0" fontId="11" fillId="8" borderId="24" xfId="0" applyFont="1" applyFill="1" applyBorder="1" applyAlignment="1">
      <alignment horizontal="center" vertical="center" textRotation="90"/>
    </xf>
    <xf numFmtId="0" fontId="11" fillId="8" borderId="100" xfId="0" applyFont="1" applyFill="1" applyBorder="1" applyAlignment="1">
      <alignment horizontal="center" vertical="center" textRotation="90"/>
    </xf>
    <xf numFmtId="0" fontId="9" fillId="8" borderId="32" xfId="0" applyFont="1" applyFill="1" applyBorder="1" applyAlignment="1">
      <alignment horizontal="center" textRotation="90"/>
    </xf>
    <xf numFmtId="0" fontId="9" fillId="8" borderId="52" xfId="0" applyFont="1" applyFill="1" applyBorder="1" applyAlignment="1">
      <alignment horizontal="center" vertical="center" textRotation="90"/>
    </xf>
    <xf numFmtId="0" fontId="11" fillId="8" borderId="102" xfId="0" applyFont="1" applyFill="1" applyBorder="1" applyAlignment="1">
      <alignment horizontal="center" vertical="center" textRotation="90"/>
    </xf>
    <xf numFmtId="0" fontId="9" fillId="8" borderId="34" xfId="0" applyFont="1" applyFill="1" applyBorder="1" applyAlignment="1">
      <alignment horizontal="center" textRotation="90"/>
    </xf>
    <xf numFmtId="0" fontId="9" fillId="8" borderId="54" xfId="0" applyFont="1" applyFill="1" applyBorder="1" applyAlignment="1">
      <alignment horizontal="center" vertical="center" textRotation="90"/>
    </xf>
    <xf numFmtId="0" fontId="11" fillId="8" borderId="27" xfId="0" applyFont="1" applyFill="1" applyBorder="1" applyAlignment="1">
      <alignment horizontal="center" vertical="center" textRotation="90"/>
    </xf>
    <xf numFmtId="0" fontId="19" fillId="0" borderId="24" xfId="0" applyFont="1" applyBorder="1" applyAlignment="1">
      <alignment horizontal="center"/>
    </xf>
    <xf numFmtId="0" fontId="19" fillId="7" borderId="39" xfId="0" applyFont="1" applyFill="1" applyBorder="1" applyAlignment="1">
      <alignment horizontal="center"/>
    </xf>
    <xf numFmtId="0" fontId="19" fillId="7" borderId="45" xfId="0" applyFont="1" applyFill="1" applyBorder="1" applyAlignment="1">
      <alignment horizontal="center"/>
    </xf>
    <xf numFmtId="0" fontId="19" fillId="0" borderId="92" xfId="0" applyFont="1" applyBorder="1"/>
    <xf numFmtId="0" fontId="20" fillId="0" borderId="9" xfId="0" applyFont="1" applyBorder="1"/>
    <xf numFmtId="0" fontId="19" fillId="7" borderId="40" xfId="0" applyFont="1" applyFill="1" applyBorder="1" applyAlignment="1">
      <alignment horizontal="center"/>
    </xf>
    <xf numFmtId="0" fontId="19" fillId="0" borderId="9" xfId="0" applyFont="1" applyBorder="1"/>
    <xf numFmtId="0" fontId="19" fillId="0" borderId="27" xfId="0" applyFont="1" applyBorder="1" applyAlignment="1">
      <alignment horizontal="center"/>
    </xf>
    <xf numFmtId="0" fontId="11" fillId="8" borderId="22" xfId="0" applyFont="1" applyFill="1" applyBorder="1" applyAlignment="1">
      <alignment horizontal="center" vertical="center" textRotation="90"/>
    </xf>
    <xf numFmtId="0" fontId="11" fillId="8" borderId="98" xfId="0" applyFont="1" applyFill="1" applyBorder="1" applyAlignment="1">
      <alignment horizontal="center" vertical="center" textRotation="90"/>
    </xf>
    <xf numFmtId="0" fontId="9" fillId="8" borderId="30" xfId="0" applyFont="1" applyFill="1" applyBorder="1" applyAlignment="1">
      <alignment horizontal="center" textRotation="90"/>
    </xf>
    <xf numFmtId="0" fontId="9" fillId="8" borderId="42" xfId="0" applyFont="1" applyFill="1" applyBorder="1" applyAlignment="1">
      <alignment horizontal="center" vertical="center" textRotation="90"/>
    </xf>
    <xf numFmtId="0" fontId="11" fillId="8" borderId="25" xfId="0" applyFont="1" applyFill="1" applyBorder="1" applyAlignment="1">
      <alignment horizontal="center" vertical="center" textRotation="90"/>
    </xf>
    <xf numFmtId="0" fontId="11" fillId="8" borderId="101" xfId="0" applyFont="1" applyFill="1" applyBorder="1" applyAlignment="1">
      <alignment horizontal="center" vertical="center" textRotation="90"/>
    </xf>
    <xf numFmtId="0" fontId="9" fillId="8" borderId="33" xfId="0" applyFont="1" applyFill="1" applyBorder="1" applyAlignment="1">
      <alignment horizontal="center" textRotation="90"/>
    </xf>
    <xf numFmtId="0" fontId="9" fillId="8" borderId="53" xfId="0" applyFont="1" applyFill="1" applyBorder="1" applyAlignment="1">
      <alignment horizontal="center" vertical="center" textRotation="90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  <xf numFmtId="0" fontId="0" fillId="0" borderId="23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11" fillId="3" borderId="86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9" xfId="0" applyFont="1" applyFill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5" borderId="88" xfId="0" applyFont="1" applyFill="1" applyBorder="1" applyAlignment="1">
      <alignment horizontal="center" vertical="center" textRotation="90"/>
    </xf>
    <xf numFmtId="0" fontId="11" fillId="3" borderId="60" xfId="0" applyFont="1" applyFill="1" applyBorder="1" applyAlignment="1">
      <alignment horizont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8</xdr:col>
      <xdr:colOff>75601</xdr:colOff>
      <xdr:row>63</xdr:row>
      <xdr:rowOff>36827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EE0A-0C0E-4CBD-99EE-134206548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57150"/>
          <a:ext cx="4790476" cy="10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tabSelected="1" workbookViewId="0">
      <selection activeCell="AN50" sqref="AN50"/>
    </sheetView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6"/>
      <c r="AH1" s="256"/>
      <c r="AI1" s="256"/>
      <c r="AJ1" s="256"/>
    </row>
    <row r="2" spans="1:38" x14ac:dyDescent="0.2">
      <c r="A2" s="34"/>
      <c r="C2" s="257" t="s">
        <v>45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8" t="s">
        <v>66</v>
      </c>
      <c r="R2" s="256"/>
      <c r="S2" s="256"/>
      <c r="T2" s="256"/>
      <c r="U2" s="256"/>
      <c r="V2" s="256"/>
      <c r="W2" s="256"/>
      <c r="X2" s="256"/>
      <c r="Y2" s="256"/>
      <c r="Z2" s="256"/>
      <c r="AA2" s="256"/>
      <c r="AB2" s="256"/>
      <c r="AC2" s="256"/>
      <c r="AD2" s="256"/>
      <c r="AE2" s="256"/>
      <c r="AF2" s="256"/>
      <c r="AG2" s="256"/>
      <c r="AH2" s="256"/>
      <c r="AI2" s="256"/>
      <c r="AJ2" s="256"/>
    </row>
    <row r="3" spans="1:38" x14ac:dyDescent="0.2">
      <c r="A3" s="34"/>
      <c r="C3" s="257" t="s">
        <v>52</v>
      </c>
      <c r="D3" s="257"/>
      <c r="E3" s="257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8" t="s">
        <v>53</v>
      </c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</row>
    <row r="4" spans="1:38" ht="6.95" customHeight="1" thickBot="1" x14ac:dyDescent="0.25">
      <c r="C4" s="255"/>
      <c r="D4" s="255"/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6"/>
      <c r="Q4" s="256"/>
      <c r="R4" s="256"/>
      <c r="S4" s="256"/>
      <c r="T4" s="256"/>
      <c r="U4" s="256"/>
      <c r="V4" s="256"/>
      <c r="W4" s="256"/>
      <c r="X4" s="256"/>
      <c r="Y4" s="256"/>
      <c r="Z4" s="256"/>
      <c r="AA4" s="256"/>
      <c r="AB4" s="256"/>
      <c r="AC4" s="256"/>
      <c r="AD4" s="256"/>
      <c r="AE4" s="256"/>
      <c r="AF4" s="256"/>
      <c r="AG4" s="256"/>
      <c r="AH4" s="256"/>
      <c r="AI4" s="256"/>
      <c r="AJ4" s="256"/>
    </row>
    <row r="5" spans="1:38" ht="13.5" thickBot="1" x14ac:dyDescent="0.25">
      <c r="C5" s="259" t="s">
        <v>0</v>
      </c>
      <c r="D5" s="260"/>
      <c r="E5" s="260"/>
      <c r="F5" s="260"/>
      <c r="G5" s="260"/>
      <c r="H5" s="260"/>
      <c r="I5" s="260"/>
      <c r="J5" s="260"/>
      <c r="K5" s="260"/>
      <c r="L5" s="260"/>
      <c r="M5" s="260"/>
      <c r="N5" s="260"/>
      <c r="O5" s="260"/>
      <c r="P5" s="260"/>
      <c r="Q5" s="260"/>
      <c r="R5" s="260"/>
      <c r="S5" s="261"/>
      <c r="T5" s="259" t="s">
        <v>1</v>
      </c>
      <c r="U5" s="260"/>
      <c r="V5" s="260"/>
      <c r="W5" s="260"/>
      <c r="X5" s="260"/>
      <c r="Y5" s="260"/>
      <c r="Z5" s="260"/>
      <c r="AA5" s="260"/>
      <c r="AB5" s="261"/>
      <c r="AC5" s="259" t="s">
        <v>2</v>
      </c>
      <c r="AD5" s="260"/>
      <c r="AE5" s="260"/>
      <c r="AF5" s="260"/>
      <c r="AG5" s="262"/>
      <c r="AH5" s="259" t="s">
        <v>10</v>
      </c>
      <c r="AI5" s="260"/>
      <c r="AJ5" s="261"/>
    </row>
    <row r="6" spans="1:38" ht="12.75" customHeight="1" x14ac:dyDescent="0.2">
      <c r="C6" s="232" t="s">
        <v>9</v>
      </c>
      <c r="D6" s="227"/>
      <c r="E6" s="227"/>
      <c r="F6" s="227"/>
      <c r="G6" s="227"/>
      <c r="H6" s="227"/>
      <c r="I6" s="227"/>
      <c r="J6" s="228"/>
      <c r="K6" s="226" t="s">
        <v>8</v>
      </c>
      <c r="L6" s="227"/>
      <c r="M6" s="227"/>
      <c r="N6" s="227"/>
      <c r="O6" s="227"/>
      <c r="P6" s="227"/>
      <c r="Q6" s="227"/>
      <c r="R6" s="228"/>
      <c r="S6" s="229" t="s">
        <v>12</v>
      </c>
      <c r="T6" s="232" t="s">
        <v>9</v>
      </c>
      <c r="U6" s="227"/>
      <c r="V6" s="227"/>
      <c r="W6" s="228"/>
      <c r="X6" s="226" t="s">
        <v>8</v>
      </c>
      <c r="Y6" s="227"/>
      <c r="Z6" s="227"/>
      <c r="AA6" s="228"/>
      <c r="AB6" s="229" t="s">
        <v>13</v>
      </c>
      <c r="AC6" s="264" t="s">
        <v>9</v>
      </c>
      <c r="AD6" s="228"/>
      <c r="AE6" s="226" t="s">
        <v>8</v>
      </c>
      <c r="AF6" s="228"/>
      <c r="AG6" s="229" t="s">
        <v>14</v>
      </c>
      <c r="AH6" s="46"/>
      <c r="AI6" s="21"/>
      <c r="AJ6" s="229" t="s">
        <v>15</v>
      </c>
    </row>
    <row r="7" spans="1:38" s="31" customFormat="1" ht="12.75" customHeight="1" x14ac:dyDescent="0.2">
      <c r="A7" s="32"/>
      <c r="C7" s="115">
        <f>Résultats!$J$3</f>
        <v>3</v>
      </c>
      <c r="D7" s="185">
        <f>Résultats!$J$4</f>
        <v>4</v>
      </c>
      <c r="E7" s="189">
        <f>Résultats!$J$6</f>
        <v>4</v>
      </c>
      <c r="F7" s="77">
        <f>Résultats!$J$7</f>
        <v>2</v>
      </c>
      <c r="G7" s="189">
        <f>Résultats!$J$10</f>
        <v>4</v>
      </c>
      <c r="H7" s="77">
        <f>Résultats!$J$11</f>
        <v>2</v>
      </c>
      <c r="I7" s="189">
        <f>Résultats!$J$13</f>
        <v>4</v>
      </c>
      <c r="J7" s="76">
        <f>Résultats!$J$14</f>
        <v>3</v>
      </c>
      <c r="K7" s="78">
        <f>Résultats!$J$17</f>
        <v>3</v>
      </c>
      <c r="L7" s="185">
        <f>Résultats!$J$18</f>
        <v>4</v>
      </c>
      <c r="M7" s="189">
        <f>Résultats!$J$20</f>
        <v>4</v>
      </c>
      <c r="N7" s="77">
        <f>Résultats!$J$21</f>
        <v>2</v>
      </c>
      <c r="O7" s="189">
        <f>Résultats!$J$24</f>
        <v>4</v>
      </c>
      <c r="P7" s="77">
        <f>Résultats!$J$25</f>
        <v>1</v>
      </c>
      <c r="Q7" s="196">
        <f>Résultats!$J$27</f>
        <v>4</v>
      </c>
      <c r="R7" s="76">
        <f>Résultats!$J$28</f>
        <v>2</v>
      </c>
      <c r="S7" s="230"/>
      <c r="T7" s="205">
        <f>Résultats!$V$6</f>
        <v>4</v>
      </c>
      <c r="U7" s="76">
        <f>Résultats!$V$7</f>
        <v>1</v>
      </c>
      <c r="V7" s="189">
        <f>Résultats!$V$10</f>
        <v>4</v>
      </c>
      <c r="W7" s="76">
        <f>Résultats!$V$11</f>
        <v>1</v>
      </c>
      <c r="X7" s="78">
        <f>Résultats!$V$20</f>
        <v>3</v>
      </c>
      <c r="Y7" s="209">
        <f>Résultats!$V$21</f>
        <v>4</v>
      </c>
      <c r="Z7" s="196">
        <f>Résultats!$V$24</f>
        <v>4</v>
      </c>
      <c r="AA7" s="76">
        <f>Résultats!$V$25</f>
        <v>2</v>
      </c>
      <c r="AB7" s="230"/>
      <c r="AC7" s="182">
        <f>Résultats!$AH$8</f>
        <v>0</v>
      </c>
      <c r="AD7" s="76">
        <f>Résultats!$AH$9</f>
        <v>0</v>
      </c>
      <c r="AE7" s="78">
        <f>Résultats!$AH$22</f>
        <v>0</v>
      </c>
      <c r="AF7" s="76">
        <f>Résultats!$AH$23</f>
        <v>0</v>
      </c>
      <c r="AG7" s="230"/>
      <c r="AH7" s="128">
        <f>Résultats!$AH$15</f>
        <v>0</v>
      </c>
      <c r="AI7" s="79">
        <f>Résultats!$AH$16</f>
        <v>0</v>
      </c>
      <c r="AJ7" s="230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5</v>
      </c>
      <c r="D8" s="186"/>
      <c r="E8" s="190"/>
      <c r="F8" s="84"/>
      <c r="G8" s="193"/>
      <c r="H8" s="83"/>
      <c r="I8" s="190"/>
      <c r="J8" s="83"/>
      <c r="K8" s="86"/>
      <c r="L8" s="186"/>
      <c r="M8" s="190"/>
      <c r="N8" s="84"/>
      <c r="O8" s="190"/>
      <c r="P8" s="84"/>
      <c r="Q8" s="193"/>
      <c r="R8" s="83"/>
      <c r="S8" s="230"/>
      <c r="T8" s="206"/>
      <c r="U8" s="83"/>
      <c r="V8" s="190"/>
      <c r="W8" s="83"/>
      <c r="X8" s="86"/>
      <c r="Y8" s="210"/>
      <c r="Z8" s="193"/>
      <c r="AA8" s="83"/>
      <c r="AB8" s="230"/>
      <c r="AC8" s="85"/>
      <c r="AD8" s="83"/>
      <c r="AE8" s="86"/>
      <c r="AF8" s="83"/>
      <c r="AG8" s="230"/>
      <c r="AH8" s="128"/>
      <c r="AI8" s="79"/>
      <c r="AJ8" s="230"/>
    </row>
    <row r="9" spans="1:38" s="31" customFormat="1" ht="77.25" customHeight="1" thickBot="1" x14ac:dyDescent="0.25">
      <c r="A9" s="32"/>
      <c r="C9" s="117" t="str">
        <f>Résultats!$B$3</f>
        <v>BOSTON</v>
      </c>
      <c r="D9" s="187" t="str">
        <f>Résultats!$B$4</f>
        <v>FLORIDA</v>
      </c>
      <c r="E9" s="191" t="str">
        <f>Résultats!$B$6</f>
        <v>TORONTO</v>
      </c>
      <c r="F9" s="119" t="str">
        <f>Résultats!$B$7</f>
        <v>TAMPA BAY</v>
      </c>
      <c r="G9" s="194" t="str">
        <f>Résultats!$B$10</f>
        <v>CAROLINA</v>
      </c>
      <c r="H9" s="118" t="str">
        <f>Résultats!$B$11</f>
        <v>NY ISLANDERS</v>
      </c>
      <c r="I9" s="191" t="str">
        <f>Résultats!$B$13</f>
        <v>NEW JERSEY</v>
      </c>
      <c r="J9" s="118" t="str">
        <f>Résultats!$B$14</f>
        <v>NY RANGERS</v>
      </c>
      <c r="K9" s="121" t="str">
        <f>Résultats!$B$17</f>
        <v>COLORADO</v>
      </c>
      <c r="L9" s="187" t="str">
        <f>Résultats!$B$18</f>
        <v>SEATTLE</v>
      </c>
      <c r="M9" s="191" t="str">
        <f>Résultats!$B$20</f>
        <v>DALLAS</v>
      </c>
      <c r="N9" s="119" t="str">
        <f>Résultats!$B$21</f>
        <v>MINNESOTA</v>
      </c>
      <c r="O9" s="191" t="str">
        <f>Résultats!$B$24</f>
        <v>VEGAS</v>
      </c>
      <c r="P9" s="119" t="str">
        <f>Résultats!$B$25</f>
        <v>WINNIPEG</v>
      </c>
      <c r="Q9" s="194" t="str">
        <f>Résultats!$B$27</f>
        <v>EDMONTON</v>
      </c>
      <c r="R9" s="118" t="str">
        <f>Résultats!$B$28</f>
        <v>LOS ANGELES</v>
      </c>
      <c r="S9" s="230"/>
      <c r="T9" s="207" t="str">
        <f>Résultats!$N$6</f>
        <v>FLORIDA</v>
      </c>
      <c r="U9" s="118" t="str">
        <f>Résultats!$N$7</f>
        <v>TORONTO</v>
      </c>
      <c r="V9" s="191" t="str">
        <f>Résultats!$N$10</f>
        <v>CAROLINA</v>
      </c>
      <c r="W9" s="118" t="str">
        <f>Résultats!$N$11</f>
        <v>NEW JERSEY</v>
      </c>
      <c r="X9" s="121" t="str">
        <f>Résultats!$N$20</f>
        <v>SEATTLE</v>
      </c>
      <c r="Y9" s="211" t="str">
        <f>Résultats!$N$21</f>
        <v>DALLAS</v>
      </c>
      <c r="Z9" s="194" t="str">
        <f>Résultats!$N$24</f>
        <v>VEGAS</v>
      </c>
      <c r="AA9" s="118" t="str">
        <f>Résultats!$N$25</f>
        <v>EDMONTON</v>
      </c>
      <c r="AB9" s="230"/>
      <c r="AC9" s="120" t="str">
        <f>Résultats!$Z$8</f>
        <v>FLORIDA</v>
      </c>
      <c r="AD9" s="118" t="str">
        <f>Résultats!$Z$9</f>
        <v>CAROLINA</v>
      </c>
      <c r="AE9" s="121" t="str">
        <f>Résultats!$Z$22</f>
        <v>DALLAS</v>
      </c>
      <c r="AF9" s="118" t="str">
        <f>Résultats!$Z$23</f>
        <v>VEGAS</v>
      </c>
      <c r="AG9" s="230"/>
      <c r="AH9" s="129">
        <f>Résultats!$Z$15</f>
        <v>0</v>
      </c>
      <c r="AI9" s="130">
        <f>Résultats!$Z$16</f>
        <v>0</v>
      </c>
      <c r="AJ9" s="230"/>
    </row>
    <row r="10" spans="1:38" s="31" customFormat="1" ht="22.5" customHeight="1" thickBot="1" x14ac:dyDescent="0.25">
      <c r="A10" s="35" t="s">
        <v>7</v>
      </c>
      <c r="B10" s="33" t="s">
        <v>11</v>
      </c>
      <c r="C10" s="122" t="str">
        <f>Résultats!$A$3</f>
        <v>A1</v>
      </c>
      <c r="D10" s="188" t="str">
        <f>Résultats!$A$4</f>
        <v>WC2</v>
      </c>
      <c r="E10" s="192" t="str">
        <f>Résultats!$A$6</f>
        <v>A2</v>
      </c>
      <c r="F10" s="124" t="str">
        <f>Résultats!$A$7</f>
        <v>A3</v>
      </c>
      <c r="G10" s="195" t="str">
        <f>Résultats!$A$10</f>
        <v>M1</v>
      </c>
      <c r="H10" s="123" t="str">
        <f>Résultats!$A$11</f>
        <v>WC1</v>
      </c>
      <c r="I10" s="192" t="str">
        <f>Résultats!$A$13</f>
        <v>M2</v>
      </c>
      <c r="J10" s="123" t="str">
        <f>Résultats!$A$14</f>
        <v>M3</v>
      </c>
      <c r="K10" s="126" t="str">
        <f>Résultats!$A$17</f>
        <v>C1</v>
      </c>
      <c r="L10" s="188" t="str">
        <f>Résultats!$A$18</f>
        <v>WC2</v>
      </c>
      <c r="M10" s="192" t="str">
        <f>Résultats!$A$20</f>
        <v>C2</v>
      </c>
      <c r="N10" s="124" t="str">
        <f>Résultats!$A$21</f>
        <v>C3</v>
      </c>
      <c r="O10" s="192" t="str">
        <f>Résultats!$A$24</f>
        <v>P1</v>
      </c>
      <c r="P10" s="124" t="str">
        <f>Résultats!$A$25</f>
        <v>WC1</v>
      </c>
      <c r="Q10" s="195" t="str">
        <f>Résultats!$A$27</f>
        <v>P2</v>
      </c>
      <c r="R10" s="127" t="str">
        <f>Résultats!$A$28</f>
        <v>P3</v>
      </c>
      <c r="S10" s="231"/>
      <c r="T10" s="208" t="str">
        <f>Résultats!$M$6</f>
        <v>WC2</v>
      </c>
      <c r="U10" s="123" t="str">
        <f>Résultats!$M$7</f>
        <v>A2</v>
      </c>
      <c r="V10" s="192" t="str">
        <f>Résultats!$M$10</f>
        <v>M1</v>
      </c>
      <c r="W10" s="123" t="str">
        <f>Résultats!$M$11</f>
        <v>M2</v>
      </c>
      <c r="X10" s="126" t="str">
        <f>Résultats!$M$20</f>
        <v>WC2</v>
      </c>
      <c r="Y10" s="212" t="str">
        <f>Résultats!$M$21</f>
        <v>C2</v>
      </c>
      <c r="Z10" s="195" t="str">
        <f>Résultats!$M$24</f>
        <v>P1</v>
      </c>
      <c r="AA10" s="127" t="str">
        <f>Résultats!$M$25</f>
        <v>P2</v>
      </c>
      <c r="AB10" s="263"/>
      <c r="AC10" s="125" t="str">
        <f>Résultats!$Y$8</f>
        <v>WC2</v>
      </c>
      <c r="AD10" s="123" t="str">
        <f>Résultats!$Y$9</f>
        <v>M1</v>
      </c>
      <c r="AE10" s="126" t="str">
        <f>Résultats!$Y$22</f>
        <v>C2</v>
      </c>
      <c r="AF10" s="123" t="str">
        <f>Résultats!$Y$23</f>
        <v>P1</v>
      </c>
      <c r="AG10" s="263"/>
      <c r="AH10" s="131" t="str">
        <f>Résultats!$Y$15</f>
        <v>A2</v>
      </c>
      <c r="AI10" s="132" t="str">
        <f>Résultats!$Y$16</f>
        <v>C3</v>
      </c>
      <c r="AJ10" s="231"/>
      <c r="AK10" s="81" t="s">
        <v>46</v>
      </c>
      <c r="AL10" s="80" t="s">
        <v>3</v>
      </c>
    </row>
    <row r="11" spans="1:38" ht="12.75" customHeight="1" thickTop="1" x14ac:dyDescent="0.2">
      <c r="A11" s="144">
        <f>RANK(AL11,$AL$11:$AL$33,)</f>
        <v>1</v>
      </c>
      <c r="B11" s="145" t="s">
        <v>67</v>
      </c>
      <c r="C11" s="146"/>
      <c r="D11" s="198">
        <v>7</v>
      </c>
      <c r="E11" s="199">
        <v>6</v>
      </c>
      <c r="F11" s="147"/>
      <c r="G11" s="149">
        <v>5</v>
      </c>
      <c r="H11" s="150"/>
      <c r="I11" s="148"/>
      <c r="J11" s="150">
        <v>7</v>
      </c>
      <c r="K11" s="151">
        <v>6</v>
      </c>
      <c r="L11" s="150"/>
      <c r="M11" s="148">
        <v>7</v>
      </c>
      <c r="N11" s="178"/>
      <c r="O11" s="199">
        <v>5</v>
      </c>
      <c r="P11" s="147"/>
      <c r="Q11" s="202">
        <v>6</v>
      </c>
      <c r="R11" s="152"/>
      <c r="S11" s="153">
        <f>SUM(C12:R12)</f>
        <v>26</v>
      </c>
      <c r="T11" s="179"/>
      <c r="U11" s="150">
        <v>6</v>
      </c>
      <c r="V11" s="148">
        <v>7</v>
      </c>
      <c r="W11" s="150"/>
      <c r="X11" s="151"/>
      <c r="Y11" s="147">
        <v>6</v>
      </c>
      <c r="Z11" s="149">
        <v>7</v>
      </c>
      <c r="AA11" s="152"/>
      <c r="AB11" s="153">
        <f>SUM(T12:AA12)</f>
        <v>9</v>
      </c>
      <c r="AC11" s="149"/>
      <c r="AD11" s="150">
        <v>6</v>
      </c>
      <c r="AE11" s="151">
        <v>6</v>
      </c>
      <c r="AF11" s="150"/>
      <c r="AG11" s="153">
        <f>SUM(AC12:AF12)</f>
        <v>0</v>
      </c>
      <c r="AH11" s="180"/>
      <c r="AI11" s="181"/>
      <c r="AJ11" s="153">
        <f>AH12</f>
        <v>0</v>
      </c>
      <c r="AK11" s="156">
        <f>MAX($AL$11:$AL$33) - AL11</f>
        <v>0</v>
      </c>
      <c r="AL11" s="153">
        <f>$S11+$AB11+$AG11+$AJ11</f>
        <v>35</v>
      </c>
    </row>
    <row r="12" spans="1:38" s="23" customFormat="1" hidden="1" x14ac:dyDescent="0.2">
      <c r="A12" s="87" t="e">
        <f>RANK(AL12,$AL$11:$AL$33,)</f>
        <v>#N/A</v>
      </c>
      <c r="B12" s="73"/>
      <c r="C12" s="95">
        <f>(IF($C11&lt;&gt;"",($C$7*$O$40)+IF($C$7=4,($O$38)+IF($C11=$C$7+$D$7,$O$39,0),0),0)+IF($D11&lt;&gt;"",($D$7*$O$40)+IF($D$7=4,($O$38)+IF($D11=$C$7+$D$7,$O$39,0),0),0))</f>
        <v>5</v>
      </c>
      <c r="D12" s="96"/>
      <c r="E12" s="200">
        <f>(IF($E11&lt;&gt;"",($E$7*$O$40)+IF($E$7=4,($O$38)+IF($E11=$E$7+$F$7,$O$39,0),0),0)+IF($F11&lt;&gt;"",($F$7*$O$40)+IF($F$7=4,($O$38)+IF($F11=$E$7+$F$7,$O$39,0),0),0))</f>
        <v>5</v>
      </c>
      <c r="F12" s="96"/>
      <c r="G12" s="94">
        <f>(IF($G11&lt;&gt;"",($G$7*$O$40)+IF($G$7=4,($O$38)+IF($G11=$G$7+$H$7,$O$39,0),0),0)+IF($H11&lt;&gt;"",($H$7*$O$40)+IF($H$7=4,($O$38)+IF($H11=$G$7+$H$7,$O$39,0),0),0))</f>
        <v>3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3</v>
      </c>
      <c r="N12" s="96"/>
      <c r="O12" s="97">
        <f>(IF($O11&lt;&gt;"",($O$7*$O$40)+IF($O$7=4,($O$38)+IF($O11=$O$7+$P$7,$O$39,0),0),0)+IF($P11&lt;&gt;"",($P$7*$O$40)+IF($P$7=4,($O$38)+IF($P11=$O$7+$P$7,$O$39,0),0),0))</f>
        <v>5</v>
      </c>
      <c r="P12" s="96"/>
      <c r="Q12" s="200">
        <f>(IF($Q11&lt;&gt;"",($Q$7*$O$40)+IF($Q$7=4,($O$38)+IF($Q11=$Q$7+$R$7,$O$39,0),0),0)+IF($R11&lt;&gt;"",($R$7*$O$40)+IF($R$7=4,($O$38)+IF($R11=$Q$7+$R$7,$O$39,0),0),0))</f>
        <v>5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3</v>
      </c>
      <c r="W12" s="95"/>
      <c r="X12" s="95">
        <f>(IF($X11&lt;&gt;"",($X$7*$P$40)+IF($X$7=4,($P$38)+IF($X11=$X$7+$Y$7,$P$39,0),0),0)+IF($Y11&lt;&gt;"",($Y$7*$P$40)+IF($Y$7=4,($P$38)+IF($Y11=$X$7+$Y$7,$P$39,0),0),0))</f>
        <v>3</v>
      </c>
      <c r="Y12" s="49"/>
      <c r="Z12" s="95">
        <f>(IF($Z11&lt;&gt;"",($Z$7*$P$40)+IF($Z$7=4,($P$38)+IF($Z11=$Z$7+$AA$7,$P$39,0),0),0)+IF($AA11&lt;&gt;"",($AA$7*$P$40)+IF($AA$7=4,($P$38)+IF($AA11=$Z$7+$AA$7,$P$39,0),0),0))</f>
        <v>3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1</v>
      </c>
      <c r="E13" s="201">
        <f>IF(ISBLANK(E11),
0,
IF(E$7= 4, 1, 0))</f>
        <v>1</v>
      </c>
      <c r="F13" s="88">
        <f>IF(ISBLANK(F11),
0,
IF(F$7 = 4, 1, 0))</f>
        <v>0</v>
      </c>
      <c r="G13" s="88">
        <f>IF(ISBLANK(G11),
0,
IF(G$7= 4, 1, 0))</f>
        <v>1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1</v>
      </c>
      <c r="N13" s="88">
        <f>IF(ISBLANK(N11),
0,
IF(N$7 = 4, 1, 0))</f>
        <v>0</v>
      </c>
      <c r="O13" s="88">
        <f>IF(ISBLANK(O11),
0,
IF(O$7= 4, 1, 0))</f>
        <v>1</v>
      </c>
      <c r="P13" s="88">
        <f>IF(ISBLANK(P11),
0,
IF(P$7 = 4, 1, 0))</f>
        <v>0</v>
      </c>
      <c r="Q13" s="203">
        <f>IF(ISBLANK(Q11),
0,
IF(Q$7= 4, 1, 0))</f>
        <v>1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1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1</v>
      </c>
      <c r="Z13" s="88">
        <f>IF(ISBLANK(Z11),
0,
IF(Z$7= 4, 1, 0))</f>
        <v>1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9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1</v>
      </c>
      <c r="E14" s="201">
        <f>IF(E13 = 0,
0,
IF(E11 = (E$7+F$7),1,0))</f>
        <v>1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1</v>
      </c>
      <c r="P14" s="88">
        <f>IF(P13 = 0,
0,
IF(P11 = (O$7+P$7),1,0))</f>
        <v>0</v>
      </c>
      <c r="Q14" s="203">
        <f>IF(Q13 = 0,
0,
IF(Q11 = (Q$7+R$7),1,0))</f>
        <v>1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4</v>
      </c>
      <c r="AL14" s="92"/>
    </row>
    <row r="15" spans="1:38" ht="12.75" customHeight="1" x14ac:dyDescent="0.2">
      <c r="A15" s="87">
        <f>RANK(AL15,$AL$11:$AL$33,)</f>
        <v>2</v>
      </c>
      <c r="B15" s="65" t="s">
        <v>63</v>
      </c>
      <c r="C15" s="39">
        <v>6</v>
      </c>
      <c r="D15" s="38"/>
      <c r="E15" s="197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197">
        <v>6</v>
      </c>
      <c r="N15" s="141"/>
      <c r="O15" s="37">
        <v>7</v>
      </c>
      <c r="P15" s="38"/>
      <c r="Q15" s="204">
        <v>6</v>
      </c>
      <c r="R15" s="43"/>
      <c r="S15" s="91">
        <f>SUM(C16:R16)</f>
        <v>21</v>
      </c>
      <c r="T15" s="39">
        <v>7</v>
      </c>
      <c r="U15" s="40"/>
      <c r="V15" s="37">
        <v>6</v>
      </c>
      <c r="W15" s="40"/>
      <c r="X15" s="170"/>
      <c r="Y15" s="38">
        <v>6</v>
      </c>
      <c r="Z15" s="143"/>
      <c r="AA15" s="43">
        <v>7</v>
      </c>
      <c r="AB15" s="91">
        <f>SUM(T16:AA16)</f>
        <v>9</v>
      </c>
      <c r="AC15" s="41"/>
      <c r="AD15" s="40">
        <v>6</v>
      </c>
      <c r="AE15" s="42"/>
      <c r="AF15" s="172">
        <v>7</v>
      </c>
      <c r="AG15" s="91">
        <f>SUM(AC16:AF16)</f>
        <v>0</v>
      </c>
      <c r="AH15" s="177"/>
      <c r="AI15" s="48"/>
      <c r="AJ15" s="91">
        <f>AH16</f>
        <v>0</v>
      </c>
      <c r="AK15" s="82">
        <f>MAX($AL$11:$AL$33) - AL15</f>
        <v>5</v>
      </c>
      <c r="AL15" s="91">
        <f>$S15+$AB15+$AG15+$AJ15</f>
        <v>30</v>
      </c>
    </row>
    <row r="16" spans="1:38" s="23" customFormat="1" ht="12.75" hidden="1" customHeight="1" x14ac:dyDescent="0.2">
      <c r="A16" s="87" t="e">
        <f>RANK(AL16,$AL$11:$AL$33,)</f>
        <v>#N/A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5</v>
      </c>
      <c r="F16" s="105"/>
      <c r="G16" s="94">
        <f>(IF($G15&lt;&gt;"",($G$7*$O$40)+IF($G$7=4,($O$38)+IF($G15=$G$7+$H$7,$O$39,0),0),0)+IF($H15&lt;&gt;"",($H$7*$O$40)+IF($H$7=4,($O$38)+IF($H15=$G$7+$H$7,$O$39,0),0),0))</f>
        <v>3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5</v>
      </c>
      <c r="N16" s="105"/>
      <c r="O16" s="89">
        <f>(IF($O15&lt;&gt;"",($O$7*$O$40)+IF($O$7=4,($O$38)+IF($O15=$O$7+$P$7,$O$39,0),0),0)+IF($P15&lt;&gt;"",($P$7*$O$40)+IF($P$7=4,($O$38)+IF($P15=$O$7+$P$7,$O$39,0),0),0))</f>
        <v>3</v>
      </c>
      <c r="P16" s="105"/>
      <c r="Q16" s="89">
        <f>(IF($Q15&lt;&gt;"",($Q$7*$O$40)+IF($Q$7=4,($O$38)+IF($Q15=$Q$7+$R$7,$O$39,0),0),0)+IF($R15&lt;&gt;"",($R$7*$O$40)+IF($R$7=4,($O$38)+IF($R15=$Q$7+$R$7,$O$39,0),0),0))</f>
        <v>5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3</v>
      </c>
      <c r="U16" s="95"/>
      <c r="V16" s="95">
        <f>(IF($V15&lt;&gt;"",($V$7*$P$40)+IF($V$7=4,($P$38)+IF($V15=$V$7+$W$7,$P$39,0),0),0)+IF($W15&lt;&gt;"",($W$7*$P$40)+IF($W$7=4,($P$38)+IF($W15=$V$7+$W$7,$P$39,0),0),0))</f>
        <v>3</v>
      </c>
      <c r="W16" s="95"/>
      <c r="X16" s="95">
        <f>(IF($X15&lt;&gt;"",($X$7*$P$40)+IF($X$7=4,($P$38)+IF($X15=$X$7+$Y$7,$P$39,0),0),0)+IF($Y15&lt;&gt;"",($Y$7*$P$40)+IF($Y$7=4,($P$38)+IF($Y15=$X$7+$Y$7,$P$39,0),0),0))</f>
        <v>3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35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1</v>
      </c>
      <c r="F17" s="88">
        <f>IF(ISBLANK(F15),
0,
IF(F$7 = 4, 1, 0))</f>
        <v>0</v>
      </c>
      <c r="G17" s="88">
        <f>IF(ISBLANK(G15),
0,
IF(G$7= 4, 1, 0))</f>
        <v>1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1</v>
      </c>
      <c r="N17" s="88">
        <f>IF(ISBLANK(N15),
0,
IF(N$7 = 4, 1, 0))</f>
        <v>0</v>
      </c>
      <c r="O17" s="88">
        <f>IF(ISBLANK(O15),
0,
IF(O$7= 4, 1, 0))</f>
        <v>1</v>
      </c>
      <c r="P17" s="88">
        <f>IF(ISBLANK(P15),
0,
IF(P$7 = 4, 1, 0))</f>
        <v>0</v>
      </c>
      <c r="Q17" s="88">
        <f>IF(ISBLANK(Q15),
0,
IF(Q$7= 4, 1, 0))</f>
        <v>1</v>
      </c>
      <c r="R17" s="88">
        <f>IF(ISBLANK(R15),
0,
IF(R$7 = 4, 1, 0))</f>
        <v>0</v>
      </c>
      <c r="S17" s="103"/>
      <c r="T17" s="88">
        <f>IF(ISBLANK(T15),
0,
IF(T$7= 4, 1, 0))</f>
        <v>1</v>
      </c>
      <c r="U17" s="88">
        <f>IF(ISBLANK(U15),
0,
IF(U$7 = 4, 1, 0))</f>
        <v>0</v>
      </c>
      <c r="V17" s="88">
        <f>IF(ISBLANK(V15),
0,
IF(V$7= 4, 1, 0))</f>
        <v>1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1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8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1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1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1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3</v>
      </c>
      <c r="AL18" s="92"/>
    </row>
    <row r="19" spans="1:38" ht="12.75" customHeight="1" x14ac:dyDescent="0.2">
      <c r="A19" s="144">
        <f>RANK(AL19,$AL$11:$AL$33,)</f>
        <v>5</v>
      </c>
      <c r="B19" s="145" t="s">
        <v>64</v>
      </c>
      <c r="C19" s="157">
        <v>6</v>
      </c>
      <c r="D19" s="158"/>
      <c r="E19" s="173"/>
      <c r="F19" s="158">
        <v>7</v>
      </c>
      <c r="G19" s="174">
        <v>4</v>
      </c>
      <c r="H19" s="160"/>
      <c r="I19" s="173"/>
      <c r="J19" s="160">
        <v>6</v>
      </c>
      <c r="K19" s="162">
        <v>5</v>
      </c>
      <c r="L19" s="160"/>
      <c r="M19" s="161">
        <v>7</v>
      </c>
      <c r="N19" s="158"/>
      <c r="O19" s="161">
        <v>7</v>
      </c>
      <c r="P19" s="158"/>
      <c r="Q19" s="159"/>
      <c r="R19" s="164">
        <v>7</v>
      </c>
      <c r="S19" s="165">
        <f>SUM(C20:R20)</f>
        <v>9</v>
      </c>
      <c r="T19" s="157"/>
      <c r="U19" s="160">
        <v>5</v>
      </c>
      <c r="V19" s="161"/>
      <c r="W19" s="160">
        <v>7</v>
      </c>
      <c r="X19" s="171"/>
      <c r="Y19" s="158">
        <v>5</v>
      </c>
      <c r="Z19" s="159"/>
      <c r="AA19" s="164">
        <v>5</v>
      </c>
      <c r="AB19" s="166">
        <f>SUM(T20:AA20)</f>
        <v>3</v>
      </c>
      <c r="AC19" s="159"/>
      <c r="AD19" s="160">
        <v>6</v>
      </c>
      <c r="AE19" s="162"/>
      <c r="AF19" s="169">
        <v>6</v>
      </c>
      <c r="AG19" s="166">
        <f>SUM(AC20:AF20)</f>
        <v>0</v>
      </c>
      <c r="AH19" s="176"/>
      <c r="AI19" s="167"/>
      <c r="AJ19" s="166">
        <f>AH20</f>
        <v>0</v>
      </c>
      <c r="AK19" s="168">
        <f>MAX($AL$11:$AL$33) - AL19</f>
        <v>23</v>
      </c>
      <c r="AL19" s="166">
        <f>$S19+$AB19+$AG19+$AJ19</f>
        <v>12</v>
      </c>
    </row>
    <row r="20" spans="1:38" s="23" customFormat="1" ht="12.75" hidden="1" customHeight="1" x14ac:dyDescent="0.2">
      <c r="A20" s="87" t="e">
        <f>RANK(AL20,$AL$11:$AL$33,)</f>
        <v>#N/A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3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3</v>
      </c>
      <c r="N20" s="105"/>
      <c r="O20" s="89">
        <f>(IF($O19&lt;&gt;"",($O$7*$O$40)+IF($O$7=4,($O$38)+IF($O19=$O$7+$P$7,$O$39,0),0),0)+IF($P19&lt;&gt;"",($P$7*$O$40)+IF($P$7=4,($O$38)+IF($P19=$O$7+$P$7,$O$39,0),0),0))</f>
        <v>3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3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35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1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1</v>
      </c>
      <c r="N21" s="88">
        <f>IF(ISBLANK(N19),
0,
IF(N$7 = 4, 1, 0))</f>
        <v>0</v>
      </c>
      <c r="O21" s="88">
        <f>IF(ISBLANK(O19),
0,
IF(O$7= 4, 1, 0))</f>
        <v>1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1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4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4</v>
      </c>
      <c r="B23" s="65" t="s">
        <v>65</v>
      </c>
      <c r="C23" s="39">
        <v>5</v>
      </c>
      <c r="D23" s="38"/>
      <c r="E23" s="37"/>
      <c r="F23" s="38">
        <v>4</v>
      </c>
      <c r="G23" s="41"/>
      <c r="H23" s="40">
        <v>6</v>
      </c>
      <c r="I23" s="197">
        <v>7</v>
      </c>
      <c r="J23" s="40"/>
      <c r="K23" s="42"/>
      <c r="L23" s="40">
        <v>5</v>
      </c>
      <c r="M23" s="37"/>
      <c r="N23" s="38">
        <v>5</v>
      </c>
      <c r="O23" s="197">
        <v>5</v>
      </c>
      <c r="P23" s="38"/>
      <c r="Q23" s="41"/>
      <c r="R23" s="43">
        <v>5</v>
      </c>
      <c r="S23" s="91">
        <f>SUM(C24:R24)</f>
        <v>13</v>
      </c>
      <c r="T23" s="39"/>
      <c r="U23" s="40">
        <v>6</v>
      </c>
      <c r="V23" s="37"/>
      <c r="W23" s="40">
        <v>6</v>
      </c>
      <c r="X23" s="42"/>
      <c r="Y23" s="38">
        <v>6</v>
      </c>
      <c r="Z23" s="41"/>
      <c r="AA23" s="43">
        <v>7</v>
      </c>
      <c r="AB23" s="91">
        <f>SUM(T24:AA24)</f>
        <v>3</v>
      </c>
      <c r="AC23" s="41"/>
      <c r="AD23" s="40">
        <v>6</v>
      </c>
      <c r="AE23" s="42">
        <v>5</v>
      </c>
      <c r="AF23" s="40"/>
      <c r="AG23" s="91">
        <f>SUM(AC24:AF24)</f>
        <v>0</v>
      </c>
      <c r="AH23" s="175"/>
      <c r="AI23" s="47"/>
      <c r="AJ23" s="91">
        <f>AH24</f>
        <v>0</v>
      </c>
      <c r="AK23" s="82">
        <f>MAX($AL$11:$AL$33) - AL23</f>
        <v>19</v>
      </c>
      <c r="AL23" s="91">
        <f>$S23+$AB23+$AG23+$AJ23</f>
        <v>16</v>
      </c>
    </row>
    <row r="24" spans="1:38" s="23" customFormat="1" ht="12.75" hidden="1" customHeight="1" x14ac:dyDescent="0.2">
      <c r="A24" s="87" t="e">
        <f>RANK(AL24,$AL$11:$AL$33,)</f>
        <v>#N/A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5</v>
      </c>
      <c r="J24" s="111"/>
      <c r="K24" s="112">
        <f>(IF($K23&lt;&gt;"",($K$7*$O$40)+IF($K$7=4,($O$38)+IF($K23=$K$7+$L$7,$O$39,0),0),0)+IF($L23&lt;&gt;"",($L$7*$O$40)+IF($L$7=4,($O$38)+IF($L23=$K$7+$L$7,$O$39,0),0),0))</f>
        <v>3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5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3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35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1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1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1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1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4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1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1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2</v>
      </c>
      <c r="AL26" s="92"/>
    </row>
    <row r="27" spans="1:38" s="23" customFormat="1" ht="12.75" customHeight="1" thickBot="1" x14ac:dyDescent="0.25">
      <c r="A27" s="144">
        <f>RANK(AL27,$AL$11:$AL$33,)</f>
        <v>3</v>
      </c>
      <c r="B27" s="145" t="s">
        <v>68</v>
      </c>
      <c r="C27" s="157">
        <v>5</v>
      </c>
      <c r="D27" s="158"/>
      <c r="E27" s="161">
        <v>7</v>
      </c>
      <c r="F27" s="158"/>
      <c r="G27" s="184">
        <v>6</v>
      </c>
      <c r="H27" s="160"/>
      <c r="I27" s="161"/>
      <c r="J27" s="160">
        <v>6</v>
      </c>
      <c r="K27" s="162">
        <v>5</v>
      </c>
      <c r="L27" s="160"/>
      <c r="M27" s="161">
        <v>7</v>
      </c>
      <c r="N27" s="163"/>
      <c r="O27" s="161">
        <v>6</v>
      </c>
      <c r="P27" s="158"/>
      <c r="Q27" s="159">
        <v>7</v>
      </c>
      <c r="R27" s="164"/>
      <c r="S27" s="166">
        <f>SUM(C28:R28)</f>
        <v>17</v>
      </c>
      <c r="T27" s="157">
        <v>7</v>
      </c>
      <c r="U27" s="160"/>
      <c r="V27" s="161"/>
      <c r="W27" s="160">
        <v>7</v>
      </c>
      <c r="X27" s="162"/>
      <c r="Y27" s="158">
        <v>7</v>
      </c>
      <c r="Z27" s="159"/>
      <c r="AA27" s="164">
        <v>7</v>
      </c>
      <c r="AB27" s="166">
        <f>SUM(T28:AA28)</f>
        <v>8</v>
      </c>
      <c r="AC27" s="159">
        <v>6</v>
      </c>
      <c r="AD27" s="160"/>
      <c r="AE27" s="162"/>
      <c r="AF27" s="169">
        <v>7</v>
      </c>
      <c r="AG27" s="166">
        <f>SUM(AC28:AF28)</f>
        <v>0</v>
      </c>
      <c r="AH27" s="154"/>
      <c r="AI27" s="155"/>
      <c r="AJ27" s="166">
        <f>AH28</f>
        <v>0</v>
      </c>
      <c r="AK27" s="168">
        <f>MAX($AL$11:$AL$33) - AL27</f>
        <v>10</v>
      </c>
      <c r="AL27" s="183">
        <f>$S27+$AB27+$AG27+$AJ27</f>
        <v>25</v>
      </c>
    </row>
    <row r="28" spans="1:38" s="23" customFormat="1" ht="12.75" hidden="1" customHeight="1" x14ac:dyDescent="0.2">
      <c r="A28" s="87" t="e">
        <f>RANK(AL28,$AL$11:$AL$33,)</f>
        <v>#N/A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3</v>
      </c>
      <c r="F28" s="105"/>
      <c r="G28" s="89">
        <f>(IF($G27&lt;&gt;"",($G$7*$O$40)+IF($G$7=4,($O$38)+IF($G27=$G$7+$H$7,$O$39,0),0),0)+IF($H27&lt;&gt;"",($H$7*$O$40)+IF($H$7=4,($O$38)+IF($H27=$G$7+$H$7,$O$39,0),0),0))</f>
        <v>5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3</v>
      </c>
      <c r="N28" s="105"/>
      <c r="O28" s="89">
        <f>(IF($O27&lt;&gt;"",($O$7*$O$40)+IF($O$7=4,($O$38)+IF($O27=$O$7+$P$7,$O$39,0),0),0)+IF($P27&lt;&gt;"",($P$7*$O$40)+IF($P$7=4,($O$38)+IF($P27=$O$7+$P$7,$O$39,0),0),0))</f>
        <v>3</v>
      </c>
      <c r="P28" s="105"/>
      <c r="Q28" s="89">
        <f>(IF($Q27&lt;&gt;"",($Q$7*$O$40)+IF($Q$7=4,($O$38)+IF($Q27=$Q$7+$R$7,$O$39,0),0),0)+IF($R27&lt;&gt;"",($R$7*$O$40)+IF($R$7=4,($O$38)+IF($R27=$Q$7+$R$7,$O$39,0),0),0))</f>
        <v>3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3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5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35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1</v>
      </c>
      <c r="F29" s="88">
        <f>IF(ISBLANK(F27),
0,
IF(F$7 = 4, 1, 0))</f>
        <v>0</v>
      </c>
      <c r="G29" s="88">
        <f>IF(ISBLANK(G27),
0,
IF(G$7= 4, 1, 0))</f>
        <v>1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1</v>
      </c>
      <c r="N29" s="88">
        <f>IF(ISBLANK(N27),
0,
IF(N$7 = 4, 1, 0))</f>
        <v>0</v>
      </c>
      <c r="O29" s="88">
        <f>IF(ISBLANK(O27),
0,
IF(O$7= 4, 1, 0))</f>
        <v>1</v>
      </c>
      <c r="P29" s="88">
        <f>IF(ISBLANK(P27),
0,
IF(P$7 = 4, 1, 0))</f>
        <v>0</v>
      </c>
      <c r="Q29" s="88">
        <f>IF(ISBLANK(Q27),
0,
IF(Q$7= 4, 1, 0))</f>
        <v>1</v>
      </c>
      <c r="R29" s="88">
        <f>IF(ISBLANK(R27),
0,
IF(R$7 = 4, 1, 0))</f>
        <v>0</v>
      </c>
      <c r="S29" s="103"/>
      <c r="T29" s="88">
        <f>IF(ISBLANK(T27),
0,
IF(T$7= 4, 1, 0))</f>
        <v>1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1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7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1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1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2</v>
      </c>
      <c r="AL30" s="92"/>
    </row>
    <row r="31" spans="1:38" s="23" customFormat="1" hidden="1" x14ac:dyDescent="0.2">
      <c r="A31" s="87" t="e">
        <f>RANK(AL31,$AL$11:$AL$33,)</f>
        <v>#N/A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1</v>
      </c>
      <c r="E32" s="88">
        <f>IF(ISBLANK(#REF!),
0,
IF(E$7= 4, 1, 0))</f>
        <v>1</v>
      </c>
      <c r="F32" s="88">
        <f>IF(ISBLANK(#REF!),
0,
IF(F$7 = 4, 1, 0))</f>
        <v>0</v>
      </c>
      <c r="G32" s="88">
        <f>IF(ISBLANK(#REF!),
0,
IF(G$7= 4, 1, 0))</f>
        <v>1</v>
      </c>
      <c r="H32" s="88">
        <f>IF(ISBLANK(#REF!),
0,
IF(H$7 = 4, 1, 0))</f>
        <v>0</v>
      </c>
      <c r="I32" s="88">
        <f>IF(ISBLANK(#REF!),
0,
IF(I$7= 4, 1, 0))</f>
        <v>1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1</v>
      </c>
      <c r="M32" s="88">
        <f>IF(ISBLANK(#REF!),
0,
IF(M$7= 4, 1, 0))</f>
        <v>1</v>
      </c>
      <c r="N32" s="88">
        <f>IF(ISBLANK(#REF!),
0,
IF(N$7 = 4, 1, 0))</f>
        <v>0</v>
      </c>
      <c r="O32" s="88">
        <f>IF(ISBLANK(#REF!),
0,
IF(O$7= 4, 1, 0))</f>
        <v>1</v>
      </c>
      <c r="P32" s="88">
        <f>IF(ISBLANK(#REF!),
0,
IF(P$7 = 4, 1, 0))</f>
        <v>0</v>
      </c>
      <c r="Q32" s="88">
        <f>IF(ISBLANK(#REF!),
0,
IF(Q$7= 4, 1, 0))</f>
        <v>1</v>
      </c>
      <c r="R32" s="88">
        <f>IF(ISBLANK(#REF!),
0,
IF(R$7 = 4, 1, 0))</f>
        <v>0</v>
      </c>
      <c r="S32" s="103"/>
      <c r="T32" s="88">
        <f>IF(ISBLANK(#REF!),
0,
IF(T$7= 4, 1, 0))</f>
        <v>1</v>
      </c>
      <c r="U32" s="88">
        <f>IF(ISBLANK(#REF!),
0,
IF(U$7 = 4, 1, 0))</f>
        <v>0</v>
      </c>
      <c r="V32" s="88">
        <f>IF(ISBLANK(#REF!),
0,
IF(V$7= 4, 1, 0))</f>
        <v>1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1</v>
      </c>
      <c r="Z32" s="88">
        <f>IF(ISBLANK(#REF!),
0,
IF(Z$7= 4, 1, 0))</f>
        <v>1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12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 t="e">
        <f>IF(D32 = 0,
0,
IF(#REF! = (C$7+D$7),1,0))</f>
        <v>#REF!</v>
      </c>
      <c r="E33" s="88" t="e">
        <f>IF(E32 = 0,
0,
IF(#REF! = (E$7+F$7),1,0))</f>
        <v>#REF!</v>
      </c>
      <c r="F33" s="88">
        <f>IF(F32 = 0,
0,
IF(#REF! = (E$7+F$7),1,0))</f>
        <v>0</v>
      </c>
      <c r="G33" s="88" t="e">
        <f>IF(G32 = 0,
0,
IF(#REF! = (G$7+H$7),1,0))</f>
        <v>#REF!</v>
      </c>
      <c r="H33" s="88">
        <f>IF(H32 = 0,
0,
IF(#REF! = (G$7+H$7),1,0))</f>
        <v>0</v>
      </c>
      <c r="I33" s="88" t="e">
        <f>IF(I32 = 0,
0,
IF(#REF! = (I$7+J$7),1,0))</f>
        <v>#REF!</v>
      </c>
      <c r="J33" s="88">
        <f>IF(J32 = 0,
0,
IF(#REF! = (I$7+J$7),1,0))</f>
        <v>0</v>
      </c>
      <c r="K33" s="88">
        <f>IF(K32 = 0,
0,
IF(#REF! = (K$7+L$7),1,0))</f>
        <v>0</v>
      </c>
      <c r="L33" s="88" t="e">
        <f>IF(L32 = 0,
0,
IF(#REF! = (K$7+L$7),1,0))</f>
        <v>#REF!</v>
      </c>
      <c r="M33" s="88" t="e">
        <f>IF(M32 = 0,
0,
IF(#REF! = (M$7+N$7),1,0))</f>
        <v>#REF!</v>
      </c>
      <c r="N33" s="88">
        <f>IF(N32 = 0,
0,
IF(#REF! = (M$7+N$7),1,0))</f>
        <v>0</v>
      </c>
      <c r="O33" s="88" t="e">
        <f>IF(O32 = 0,
0,
IF(#REF! = (O$7+P$7),1,0))</f>
        <v>#REF!</v>
      </c>
      <c r="P33" s="88">
        <f>IF(P32 = 0,
0,
IF(#REF! = (O$7+P$7),1,0))</f>
        <v>0</v>
      </c>
      <c r="Q33" s="88" t="e">
        <f>IF(Q32 = 0,
0,
IF(#REF! = (Q$7+R$7),1,0))</f>
        <v>#REF!</v>
      </c>
      <c r="R33" s="88">
        <f>IF(R32 = 0,
0,
IF(#REF! = (Q$7+R$7),1,0))</f>
        <v>0</v>
      </c>
      <c r="S33" s="103"/>
      <c r="T33" s="88" t="e">
        <f>IF(T32 = 0,
0,
IF(#REF! = (T$7+U$7),1,0))</f>
        <v>#REF!</v>
      </c>
      <c r="U33" s="88">
        <f>IF(U32 = 0,
0,
IF(#REF! = (T$7+U$7),1,0))</f>
        <v>0</v>
      </c>
      <c r="V33" s="88" t="e">
        <f>IF(V32 = 0,
0,
IF(#REF! = (V$7+W$7),1,0))</f>
        <v>#REF!</v>
      </c>
      <c r="W33" s="88">
        <f>IF(W32 = 0,
0,
IF(#REF! = (V$7+W$7),1,0))</f>
        <v>0</v>
      </c>
      <c r="X33" s="88">
        <f>IF(X32 = 0,
0,
IF(#REF! = (X$7+Y$7),1,0))</f>
        <v>0</v>
      </c>
      <c r="Y33" s="88" t="e">
        <f>IF(Y32 = 0,
0,
IF(#REF! = (X$7+Y$7),1,0))</f>
        <v>#REF!</v>
      </c>
      <c r="Z33" s="88" t="e">
        <f>IF(Z32 = 0,
0,
IF(#REF! = (Z$7+AA$7),1,0))</f>
        <v>#REF!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 t="e">
        <f>SUM(C33:AI33)</f>
        <v>#REF!</v>
      </c>
      <c r="AL33" s="133"/>
    </row>
    <row r="34" spans="1:38" ht="12.75" customHeight="1" thickBot="1" x14ac:dyDescent="0.25">
      <c r="A34" s="51"/>
      <c r="B34" s="45"/>
      <c r="C34" s="136">
        <f xml:space="preserve"> COUNT(C11,C15,C19,C23,C27,#REF!,#REF!,#REF!,#REF!,#REF!,#REF!,#REF!,#REF!,#REF!,#REF!,#REF!,#REF!,#REF!,#REF!,#REF!,#REF!,#REF!)</f>
        <v>4</v>
      </c>
      <c r="D34" s="134">
        <f xml:space="preserve"> COUNT(D11,D15,D19,D23,D27,#REF!,#REF!,#REF!,#REF!,#REF!,#REF!,#REF!,#REF!,#REF!,#REF!,#REF!,#REF!,#REF!,#REF!,#REF!,#REF!,#REF!)</f>
        <v>1</v>
      </c>
      <c r="E34" s="136">
        <f xml:space="preserve"> COUNT(E11,E15,E19,E23,E27,#REF!,#REF!,#REF!,#REF!,#REF!,#REF!,#REF!,#REF!,#REF!,#REF!,#REF!,#REF!,#REF!,#REF!,#REF!,#REF!,#REF!)</f>
        <v>3</v>
      </c>
      <c r="F34" s="134">
        <f xml:space="preserve"> COUNT(F11,F15,F19,F23,F27,#REF!,#REF!,#REF!,#REF!,#REF!,#REF!,#REF!,#REF!,#REF!,#REF!,#REF!,#REF!,#REF!,#REF!,#REF!,#REF!,#REF!)</f>
        <v>2</v>
      </c>
      <c r="G34" s="136">
        <f xml:space="preserve"> COUNT(G11,G15,G19,G23,G27,#REF!,#REF!,#REF!,#REF!,#REF!,#REF!,#REF!,#REF!,#REF!,#REF!,#REF!,#REF!,#REF!,#REF!,#REF!,#REF!,#REF!)</f>
        <v>4</v>
      </c>
      <c r="H34" s="134">
        <f xml:space="preserve"> COUNT(H11,H15,H19,H23,H27,#REF!,#REF!,#REF!,#REF!,#REF!,#REF!,#REF!,#REF!,#REF!,#REF!,#REF!,#REF!,#REF!,#REF!,#REF!,#REF!,#REF!)</f>
        <v>1</v>
      </c>
      <c r="I34" s="136">
        <f xml:space="preserve"> COUNT(I11,I15,I19,I23,I27,#REF!,#REF!,#REF!,#REF!,#REF!,#REF!,#REF!,#REF!,#REF!,#REF!,#REF!,#REF!,#REF!,#REF!,#REF!,#REF!,#REF!)</f>
        <v>1</v>
      </c>
      <c r="J34" s="142">
        <f xml:space="preserve"> COUNT(J11,J15,J19,J23,J27,#REF!,#REF!,#REF!,#REF!,#REF!,#REF!,#REF!,#REF!,#REF!,#REF!,#REF!,#REF!,#REF!,#REF!,#REF!,#REF!,#REF!)</f>
        <v>4</v>
      </c>
      <c r="K34" s="135">
        <f xml:space="preserve"> COUNT(K11,K15,K19,K23,K27,#REF!,#REF!,#REF!,#REF!,#REF!,#REF!,#REF!,#REF!,#REF!,#REF!,#REF!,#REF!,#REF!,#REF!,#REF!,#REF!,#REF!)</f>
        <v>4</v>
      </c>
      <c r="L34" s="134">
        <f xml:space="preserve"> COUNT(L11,L15,L19,L23,L27,#REF!,#REF!,#REF!,#REF!,#REF!,#REF!,#REF!,#REF!,#REF!,#REF!,#REF!,#REF!,#REF!,#REF!,#REF!,#REF!,#REF!)</f>
        <v>1</v>
      </c>
      <c r="M34" s="136">
        <f xml:space="preserve"> COUNT(M11,M15,M19,M23,M27,#REF!,#REF!,#REF!,#REF!,#REF!,#REF!,#REF!,#REF!,#REF!,#REF!,#REF!,#REF!,#REF!,#REF!,#REF!,#REF!,#REF!)</f>
        <v>4</v>
      </c>
      <c r="N34" s="134">
        <f xml:space="preserve"> COUNT(N11,N15,N19,N23,N27,#REF!,#REF!,#REF!,#REF!,#REF!,#REF!,#REF!,#REF!,#REF!,#REF!,#REF!,#REF!,#REF!,#REF!,#REF!,#REF!,#REF!)</f>
        <v>1</v>
      </c>
      <c r="O34" s="136">
        <f xml:space="preserve"> COUNT(O11,O15,O19,O23,O27,#REF!,#REF!,#REF!,#REF!,#REF!,#REF!,#REF!,#REF!,#REF!,#REF!,#REF!,#REF!,#REF!,#REF!,#REF!,#REF!,#REF!)</f>
        <v>5</v>
      </c>
      <c r="P34" s="134">
        <f xml:space="preserve"> COUNT(P11,P15,P19,P23,P27,#REF!,#REF!,#REF!,#REF!,#REF!,#REF!,#REF!,#REF!,#REF!,#REF!,#REF!,#REF!,#REF!,#REF!,#REF!,#REF!,#REF!)</f>
        <v>0</v>
      </c>
      <c r="Q34" s="136">
        <f xml:space="preserve"> COUNT(Q11,Q15,Q19,Q23,Q27,#REF!,#REF!,#REF!,#REF!,#REF!,#REF!,#REF!,#REF!,#REF!,#REF!,#REF!,#REF!,#REF!,#REF!,#REF!,#REF!,#REF!)</f>
        <v>3</v>
      </c>
      <c r="R34" s="137">
        <f xml:space="preserve"> COUNT(R11,R15,R19,R23,R27,#REF!,#REF!,#REF!,#REF!,#REF!,#REF!,#REF!,#REF!,#REF!,#REF!,#REF!,#REF!,#REF!,#REF!,#REF!,#REF!,#REF!)</f>
        <v>2</v>
      </c>
      <c r="S34" s="56"/>
      <c r="T34" s="136">
        <f xml:space="preserve"> COUNT(T11,T15,T19,T23,T27,#REF!,#REF!,#REF!,#REF!,#REF!,#REF!,#REF!,#REF!,#REF!,#REF!,#REF!,#REF!,#REF!,#REF!,#REF!,#REF!,#REF!)</f>
        <v>2</v>
      </c>
      <c r="U34" s="134">
        <f xml:space="preserve"> COUNT(U11,U15,U19,U23,U27,#REF!,#REF!,#REF!,#REF!,#REF!,#REF!,#REF!,#REF!,#REF!,#REF!,#REF!,#REF!,#REF!,#REF!,#REF!,#REF!,#REF!)</f>
        <v>3</v>
      </c>
      <c r="V34" s="136">
        <f xml:space="preserve"> COUNT(V11,V15,V19,V23,V27,#REF!,#REF!,#REF!,#REF!,#REF!,#REF!,#REF!,#REF!,#REF!,#REF!,#REF!,#REF!,#REF!,#REF!,#REF!,#REF!,#REF!)</f>
        <v>2</v>
      </c>
      <c r="W34" s="142">
        <f xml:space="preserve"> COUNT(W11,W15,W19,W23,W27,#REF!,#REF!,#REF!,#REF!,#REF!,#REF!,#REF!,#REF!,#REF!,#REF!,#REF!,#REF!,#REF!,#REF!,#REF!,#REF!,#REF!)</f>
        <v>3</v>
      </c>
      <c r="X34" s="135">
        <f xml:space="preserve"> COUNT(X11,X15,X19,X23,X27,#REF!,#REF!,#REF!,#REF!,#REF!,#REF!,#REF!,#REF!,#REF!,#REF!,#REF!,#REF!,#REF!,#REF!,#REF!,#REF!,#REF!)</f>
        <v>0</v>
      </c>
      <c r="Y34" s="134">
        <f xml:space="preserve"> COUNT(Y11,Y15,Y19,Y23,Y27,#REF!,#REF!,#REF!,#REF!,#REF!,#REF!,#REF!,#REF!,#REF!,#REF!,#REF!,#REF!,#REF!,#REF!,#REF!,#REF!,#REF!)</f>
        <v>5</v>
      </c>
      <c r="Z34" s="136">
        <f xml:space="preserve"> COUNT(Z11,Z15,Z19,Z23,Z27,#REF!,#REF!,#REF!,#REF!,#REF!,#REF!,#REF!,#REF!,#REF!,#REF!,#REF!,#REF!,#REF!,#REF!,#REF!,#REF!,#REF!)</f>
        <v>1</v>
      </c>
      <c r="AA34" s="137">
        <f xml:space="preserve"> COUNT(AA11,AA15,AA19,AA23,AA27,#REF!,#REF!,#REF!,#REF!,#REF!,#REF!,#REF!,#REF!,#REF!,#REF!,#REF!,#REF!,#REF!,#REF!,#REF!,#REF!,#REF!)</f>
        <v>4</v>
      </c>
      <c r="AB34" s="75"/>
      <c r="AC34" s="52">
        <f xml:space="preserve"> COUNT(AC11,AC15,AC19,AC23,AC27,#REF!,#REF!,#REF!,#REF!,#REF!,#REF!,#REF!,#REF!,#REF!,#REF!,#REF!,#REF!,#REF!,#REF!,#REF!,#REF!,#REF!)</f>
        <v>1</v>
      </c>
      <c r="AD34" s="53">
        <f xml:space="preserve"> COUNT(AD11,AD15,AD19,AD23,AD27,#REF!,#REF!,#REF!,#REF!,#REF!,#REF!,#REF!,#REF!,#REF!,#REF!,#REF!,#REF!,#REF!,#REF!,#REF!,#REF!,#REF!)</f>
        <v>4</v>
      </c>
      <c r="AE34" s="54">
        <f xml:space="preserve"> COUNT(AE11,AE15,AE19,AE23,AE27,#REF!,#REF!,#REF!,#REF!,#REF!,#REF!,#REF!,#REF!,#REF!,#REF!,#REF!,#REF!,#REF!,#REF!,#REF!,#REF!,#REF!)</f>
        <v>2</v>
      </c>
      <c r="AF34" s="55">
        <f xml:space="preserve"> COUNT(AF11,AF15,AF19,AF23,AF27,#REF!,#REF!,#REF!,#REF!,#REF!,#REF!,#REF!,#REF!,#REF!,#REF!,#REF!,#REF!,#REF!,#REF!,#REF!,#REF!,#REF!)</f>
        <v>3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46" t="s">
        <v>17</v>
      </c>
      <c r="P36" s="247"/>
      <c r="Q36" s="247"/>
      <c r="R36" s="248"/>
      <c r="AG36" s="25"/>
      <c r="AH36" s="25"/>
      <c r="AI36" s="25"/>
      <c r="AJ36" s="25"/>
      <c r="AK36" s="25"/>
    </row>
    <row r="37" spans="1:38" ht="13.5" thickBot="1" x14ac:dyDescent="0.25">
      <c r="A37" s="27"/>
      <c r="B37" s="236" t="s">
        <v>16</v>
      </c>
      <c r="C37" s="237"/>
      <c r="D37" s="237"/>
      <c r="E37" s="237"/>
      <c r="F37" s="237"/>
      <c r="G37" s="237"/>
      <c r="H37" s="237"/>
      <c r="I37" s="237"/>
      <c r="J37" s="237"/>
      <c r="K37" s="237"/>
      <c r="L37" s="237"/>
      <c r="M37" s="237"/>
      <c r="N37" s="238"/>
      <c r="O37" s="17">
        <v>1</v>
      </c>
      <c r="P37" s="17">
        <v>2</v>
      </c>
      <c r="Q37" s="17">
        <v>3</v>
      </c>
      <c r="R37" s="18">
        <v>4</v>
      </c>
      <c r="U37" s="249" t="s">
        <v>26</v>
      </c>
      <c r="V37" s="250"/>
      <c r="W37" s="250"/>
      <c r="X37" s="250"/>
      <c r="Y37" s="250"/>
      <c r="Z37" s="250"/>
      <c r="AA37" s="250"/>
      <c r="AB37" s="250"/>
      <c r="AC37" s="250"/>
      <c r="AD37" s="251"/>
      <c r="AG37" s="252" t="s">
        <v>24</v>
      </c>
      <c r="AH37" s="253"/>
      <c r="AI37" s="253"/>
      <c r="AJ37" s="253"/>
      <c r="AK37" s="254"/>
    </row>
    <row r="38" spans="1:38" x14ac:dyDescent="0.2">
      <c r="A38" s="28"/>
      <c r="B38" s="223" t="s">
        <v>6</v>
      </c>
      <c r="C38" s="217"/>
      <c r="D38" s="217"/>
      <c r="E38" s="217"/>
      <c r="F38" s="217"/>
      <c r="G38" s="217"/>
      <c r="H38" s="217"/>
      <c r="I38" s="217"/>
      <c r="J38" s="217"/>
      <c r="K38" s="217"/>
      <c r="L38" s="217"/>
      <c r="M38" s="217"/>
      <c r="N38" s="218"/>
      <c r="O38" s="16">
        <v>3</v>
      </c>
      <c r="P38" s="16">
        <v>3</v>
      </c>
      <c r="Q38" s="16">
        <v>3</v>
      </c>
      <c r="R38" s="19">
        <v>3</v>
      </c>
      <c r="U38" s="241" t="s">
        <v>20</v>
      </c>
      <c r="V38" s="242"/>
      <c r="W38" s="242"/>
      <c r="X38" s="242"/>
      <c r="Y38" s="242"/>
      <c r="Z38" s="242"/>
      <c r="AA38" s="242"/>
      <c r="AB38" s="239">
        <v>5</v>
      </c>
      <c r="AC38" s="239"/>
      <c r="AD38" s="240"/>
      <c r="AE38" s="24"/>
      <c r="AF38" s="24"/>
      <c r="AG38" s="213" t="s">
        <v>21</v>
      </c>
      <c r="AH38" s="214"/>
      <c r="AI38" s="214"/>
      <c r="AJ38" s="215"/>
      <c r="AK38" s="138">
        <v>100</v>
      </c>
    </row>
    <row r="39" spans="1:38" ht="13.5" thickBot="1" x14ac:dyDescent="0.25">
      <c r="A39" s="28"/>
      <c r="B39" s="223" t="s">
        <v>5</v>
      </c>
      <c r="C39" s="217"/>
      <c r="D39" s="217"/>
      <c r="E39" s="217"/>
      <c r="F39" s="217"/>
      <c r="G39" s="217"/>
      <c r="H39" s="217"/>
      <c r="I39" s="217"/>
      <c r="J39" s="217"/>
      <c r="K39" s="217"/>
      <c r="L39" s="217"/>
      <c r="M39" s="217"/>
      <c r="N39" s="218"/>
      <c r="O39" s="16">
        <v>2</v>
      </c>
      <c r="P39" s="16">
        <v>2</v>
      </c>
      <c r="Q39" s="16">
        <v>2</v>
      </c>
      <c r="R39" s="19">
        <v>2</v>
      </c>
      <c r="U39" s="219" t="s">
        <v>18</v>
      </c>
      <c r="V39" s="220"/>
      <c r="W39" s="220"/>
      <c r="X39" s="220"/>
      <c r="Y39" s="220"/>
      <c r="Z39" s="220"/>
      <c r="AA39" s="220"/>
      <c r="AB39" s="221">
        <v>20</v>
      </c>
      <c r="AC39" s="221"/>
      <c r="AD39" s="222"/>
      <c r="AE39" s="24"/>
      <c r="AF39" s="24"/>
      <c r="AG39" s="216" t="s">
        <v>22</v>
      </c>
      <c r="AH39" s="217"/>
      <c r="AI39" s="217"/>
      <c r="AJ39" s="218"/>
      <c r="AK39" s="30">
        <v>0</v>
      </c>
    </row>
    <row r="40" spans="1:38" ht="14.25" thickTop="1" thickBot="1" x14ac:dyDescent="0.25">
      <c r="A40" s="29"/>
      <c r="B40" s="233" t="s">
        <v>4</v>
      </c>
      <c r="C40" s="234"/>
      <c r="D40" s="234"/>
      <c r="E40" s="234"/>
      <c r="F40" s="234"/>
      <c r="G40" s="234"/>
      <c r="H40" s="234"/>
      <c r="I40" s="234"/>
      <c r="J40" s="234"/>
      <c r="K40" s="234"/>
      <c r="L40" s="234"/>
      <c r="M40" s="234"/>
      <c r="N40" s="235"/>
      <c r="O40" s="3">
        <v>0</v>
      </c>
      <c r="P40" s="3">
        <v>0</v>
      </c>
      <c r="Q40" s="3">
        <v>0</v>
      </c>
      <c r="R40" s="20">
        <v>0</v>
      </c>
      <c r="U40" s="243" t="s">
        <v>19</v>
      </c>
      <c r="V40" s="225"/>
      <c r="W40" s="225"/>
      <c r="X40" s="225"/>
      <c r="Y40" s="225"/>
      <c r="Z40" s="225"/>
      <c r="AA40" s="225"/>
      <c r="AB40" s="244">
        <f>AB38*AB39</f>
        <v>100</v>
      </c>
      <c r="AC40" s="244"/>
      <c r="AD40" s="245"/>
      <c r="AE40" s="24"/>
      <c r="AF40" s="24"/>
      <c r="AG40" s="216" t="s">
        <v>25</v>
      </c>
      <c r="AH40" s="217"/>
      <c r="AI40" s="217"/>
      <c r="AJ40" s="218"/>
      <c r="AK40" s="30">
        <v>0</v>
      </c>
    </row>
    <row r="41" spans="1:38" ht="13.5" thickBot="1" x14ac:dyDescent="0.25">
      <c r="AG41" s="219" t="s">
        <v>23</v>
      </c>
      <c r="AH41" s="220"/>
      <c r="AI41" s="220"/>
      <c r="AJ41" s="220"/>
      <c r="AK41" s="140">
        <v>0</v>
      </c>
    </row>
    <row r="42" spans="1:38" ht="14.25" thickTop="1" thickBot="1" x14ac:dyDescent="0.25">
      <c r="AG42" s="224" t="s">
        <v>19</v>
      </c>
      <c r="AH42" s="225"/>
      <c r="AI42" s="225"/>
      <c r="AJ42" s="225"/>
      <c r="AK42" s="139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  <mergeCell ref="C1:O1"/>
    <mergeCell ref="P1:AJ1"/>
    <mergeCell ref="C4:O4"/>
    <mergeCell ref="P4:AJ4"/>
    <mergeCell ref="C3:P3"/>
    <mergeCell ref="Q3:AJ3"/>
    <mergeCell ref="C2:P2"/>
    <mergeCell ref="Q2:AJ2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AG38:AJ38"/>
    <mergeCell ref="AG40:AJ40"/>
    <mergeCell ref="AG39:AJ39"/>
    <mergeCell ref="U39:AA39"/>
    <mergeCell ref="AB39:AD39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conditionalFormatting sqref="AL11:AL33">
    <cfRule type="cellIs" dxfId="8" priority="32" operator="notEqual">
      <formula>""""""</formula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86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workbookViewId="0">
      <selection activeCell="Z27" sqref="Z27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>
        <v>6</v>
      </c>
      <c r="G3" s="62">
        <v>3</v>
      </c>
      <c r="H3" s="62">
        <v>5</v>
      </c>
      <c r="I3" s="62">
        <v>3</v>
      </c>
      <c r="J3" s="61">
        <f>IF(C3&gt;C4,1,0)+IF(D3&gt;D4,1,0)+IF(E3&gt;E4,1,0)+IF(F3&gt;F4,1,0)+IF(G3&gt;G4,1,0)+IF(H3&gt;H4,1,0)+IF(I3&gt;I4,1,0)</f>
        <v>3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>
        <v>2</v>
      </c>
      <c r="G4" s="62">
        <v>4</v>
      </c>
      <c r="H4" s="62">
        <v>7</v>
      </c>
      <c r="I4" s="62">
        <v>4</v>
      </c>
      <c r="J4" s="61">
        <f>IF(C4&gt;C3,1,0)+IF(D4&gt;D3,1,0)+IF(E4&gt;E3,1,0)+IF(F4&gt;F3,1,0)+IF(G4&gt;G3,1,0)+IF(H4&gt;H3,1,0)+IF(I4&gt;I3,1,0)</f>
        <v>4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>
        <v>4</v>
      </c>
      <c r="F6" s="62">
        <v>5</v>
      </c>
      <c r="G6" s="62">
        <v>2</v>
      </c>
      <c r="H6" s="62">
        <v>2</v>
      </c>
      <c r="I6" s="62"/>
      <c r="J6" s="61">
        <f>IF(C6&gt;C7,1,0)+IF(D6&gt;D7,1,0)+IF(E6&gt;E7,1,0)+IF(F6&gt;F7,1,0)+IF(G6&gt;G7,1,0)+IF(H6&gt;H7,1,0)+IF(I6&gt;I7,1,0)</f>
        <v>4</v>
      </c>
      <c r="K6" s="15"/>
      <c r="L6" s="12"/>
      <c r="M6" s="60" t="s">
        <v>49</v>
      </c>
      <c r="N6" s="64" t="s">
        <v>54</v>
      </c>
      <c r="O6" s="62">
        <v>4</v>
      </c>
      <c r="P6" s="62">
        <v>3</v>
      </c>
      <c r="Q6" s="62">
        <v>3</v>
      </c>
      <c r="R6" s="62">
        <v>1</v>
      </c>
      <c r="S6" s="62">
        <v>3</v>
      </c>
      <c r="T6" s="62"/>
      <c r="U6" s="62"/>
      <c r="V6" s="61">
        <f>IF(O6&gt;O7,1,0)+IF(P6&gt;P7,1,0)+IF(Q6&gt;Q7,1,0)+IF(R6&gt;R7,1,0)+IF(S6&gt;S7,1,0)+IF(T6&gt;T7,1,0)+IF(U6&gt;U7,1,0)</f>
        <v>4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>
        <v>3</v>
      </c>
      <c r="F7" s="62">
        <v>4</v>
      </c>
      <c r="G7" s="62">
        <v>4</v>
      </c>
      <c r="H7" s="62">
        <v>1</v>
      </c>
      <c r="I7" s="62"/>
      <c r="J7" s="61">
        <f>IF(C7&gt;C6,1,0)+IF(D7&gt;D6,1,0)+IF(E7&gt;E6,1,0)+IF(F7&gt;F6,1,0)+IF(G7&gt;G6,1,0)+IF(H7&gt;H6,1,0)+IF(I7&gt;I6,1,0)</f>
        <v>2</v>
      </c>
      <c r="K7" s="45"/>
      <c r="M7" s="60" t="s">
        <v>28</v>
      </c>
      <c r="N7" s="64" t="s">
        <v>41</v>
      </c>
      <c r="O7" s="62">
        <v>2</v>
      </c>
      <c r="P7" s="62">
        <v>2</v>
      </c>
      <c r="Q7" s="62">
        <v>2</v>
      </c>
      <c r="R7" s="62">
        <v>2</v>
      </c>
      <c r="S7" s="62">
        <v>2</v>
      </c>
      <c r="T7" s="62"/>
      <c r="U7" s="62"/>
      <c r="V7" s="61">
        <f>IF(O7&gt;O6,1,0)+IF(P7&gt;P6,1,0)+IF(Q7&gt;Q6,1,0)+IF(R7&gt;R6,1,0)+IF(S7&gt;S6,1,0)+IF(T7&gt;T6,1,0)+IF(U7&gt;U6,1,0)</f>
        <v>1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49</v>
      </c>
      <c r="Z8" s="64" t="s">
        <v>54</v>
      </c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30</v>
      </c>
      <c r="Z9" s="64" t="s">
        <v>55</v>
      </c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>
        <v>5</v>
      </c>
      <c r="G10" s="63">
        <v>2</v>
      </c>
      <c r="H10" s="62">
        <v>2</v>
      </c>
      <c r="I10" s="63"/>
      <c r="J10" s="61">
        <f>IF(C10&gt;C11,1,0)+IF(D10&gt;D11,1,0)+IF(E10&gt;E11,1,0)+IF(F10&gt;F11,1,0)+IF(G10&gt;G11,1,0)+IF(H10&gt;H11,1,0)+IF(I10&gt;I11,1,0)</f>
        <v>4</v>
      </c>
      <c r="K10" s="12"/>
      <c r="L10" s="12"/>
      <c r="M10" s="60" t="s">
        <v>30</v>
      </c>
      <c r="N10" s="64" t="s">
        <v>55</v>
      </c>
      <c r="O10" s="62">
        <v>5</v>
      </c>
      <c r="P10" s="62">
        <v>6</v>
      </c>
      <c r="Q10" s="62">
        <v>4</v>
      </c>
      <c r="R10" s="62">
        <v>6</v>
      </c>
      <c r="S10" s="62">
        <v>3</v>
      </c>
      <c r="T10" s="62"/>
      <c r="U10" s="62"/>
      <c r="V10" s="61">
        <f>IF(O10&gt;O11,1,0)+IF(P10&gt;P11,1,0)+IF(Q10&gt;Q11,1,0)+IF(R10&gt;R11,1,0)+IF(S10&gt;S11,1,0)+IF(T10&gt;T11,1,0)+IF(U10&gt;U11,1,0)</f>
        <v>4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>
        <v>2</v>
      </c>
      <c r="G11" s="63">
        <v>3</v>
      </c>
      <c r="H11" s="62">
        <v>1</v>
      </c>
      <c r="I11" s="63"/>
      <c r="J11" s="61">
        <f>IF(C11&gt;C10,1,0)+IF(D11&gt;D10,1,0)+IF(E11&gt;E10,1,0)+IF(F11&gt;F10,1,0)+IF(G11&gt;G10,1,0)+IF(H11&gt;H10,1,0)+IF(I11&gt;I10,1,0)</f>
        <v>2</v>
      </c>
      <c r="K11" s="13"/>
      <c r="M11" s="60" t="s">
        <v>31</v>
      </c>
      <c r="N11" s="64" t="s">
        <v>57</v>
      </c>
      <c r="O11" s="62">
        <v>1</v>
      </c>
      <c r="P11" s="62">
        <v>1</v>
      </c>
      <c r="Q11" s="62">
        <v>8</v>
      </c>
      <c r="R11" s="62">
        <v>1</v>
      </c>
      <c r="S11" s="62">
        <v>2</v>
      </c>
      <c r="T11" s="62"/>
      <c r="U11" s="62"/>
      <c r="V11" s="61">
        <f>IF(O11&gt;O10,1,0)+IF(P11&gt;P10,1,0)+IF(Q11&gt;Q10,1,0)+IF(R11&gt;R10,1,0)+IF(S11&gt;S10,1,0)+IF(T11&gt;T10,1,0)+IF(U11&gt;U10,1,0)</f>
        <v>1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>
        <v>2</v>
      </c>
      <c r="F13" s="62">
        <v>3</v>
      </c>
      <c r="G13" s="63">
        <v>4</v>
      </c>
      <c r="H13" s="63">
        <v>2</v>
      </c>
      <c r="I13" s="63">
        <v>4</v>
      </c>
      <c r="J13" s="61">
        <f>IF(C13&gt;C14,1,0)+IF(D13&gt;D14,1,0)+IF(E13&gt;E14,1,0)+IF(F13&gt;F14,1,0)+IF(G13&gt;G14,1,0)+IF(H13&gt;H14,1,0)+IF(I13&gt;I14,1,0)</f>
        <v>4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>
        <v>0</v>
      </c>
      <c r="F14" s="62">
        <v>1</v>
      </c>
      <c r="G14" s="63">
        <v>0</v>
      </c>
      <c r="H14" s="63">
        <v>5</v>
      </c>
      <c r="I14" s="63">
        <v>0</v>
      </c>
      <c r="J14" s="61">
        <f>IF(C14&gt;C13,1,0)+IF(D14&gt;D13,1,0)+IF(E14&gt;E13,1,0)+IF(F14&gt;F13,1,0)+IF(G14&gt;G13,1,0)+IF(H14&gt;H13,1,0)+IF(I14&gt;I13,1,0)</f>
        <v>3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>
        <v>6</v>
      </c>
      <c r="F17" s="63">
        <v>2</v>
      </c>
      <c r="G17" s="62">
        <v>2</v>
      </c>
      <c r="H17" s="62">
        <v>4</v>
      </c>
      <c r="I17" s="62">
        <v>1</v>
      </c>
      <c r="J17" s="61">
        <f>IF(C17&gt;C18,1,0)+IF(D17&gt;D18,1,0)+IF(E17&gt;E18,1,0)+IF(F17&gt;F18,1,0)+IF(G17&gt;G18,1,0)+IF(H17&gt;H18,1,0)+IF(I17&gt;I18,1,0)</f>
        <v>3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>
        <v>4</v>
      </c>
      <c r="F18" s="63">
        <v>3</v>
      </c>
      <c r="G18" s="62">
        <v>3</v>
      </c>
      <c r="H18" s="62">
        <v>2</v>
      </c>
      <c r="I18" s="62">
        <v>2</v>
      </c>
      <c r="J18" s="61">
        <f>IF(C18&gt;C17,1,0)+IF(D18&gt;D17,1,0)+IF(E18&gt;E17,1,0)+IF(F18&gt;F17,1,0)+IF(G18&gt;G17,1,0)+IF(H18&gt;H17,1,0)+IF(I18&gt;I17,1,0)</f>
        <v>4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>
        <v>3</v>
      </c>
      <c r="G20" s="62">
        <v>4</v>
      </c>
      <c r="H20" s="62">
        <v>4</v>
      </c>
      <c r="I20" s="63"/>
      <c r="J20" s="61">
        <f>IF(C20&gt;C21,1,0)+IF(D20&gt;D21,1,0)+IF(E20&gt;E21,1,0)+IF(F20&gt;F21,1,0)+IF(G20&gt;G21,1,0)+IF(H20&gt;H21,1,0)+IF(I20&gt;I21,1,0)</f>
        <v>4</v>
      </c>
      <c r="K20" s="15"/>
      <c r="L20" s="12"/>
      <c r="M20" s="60" t="s">
        <v>49</v>
      </c>
      <c r="N20" s="64" t="s">
        <v>59</v>
      </c>
      <c r="O20" s="62">
        <v>5</v>
      </c>
      <c r="P20" s="62">
        <v>2</v>
      </c>
      <c r="Q20" s="62">
        <v>7</v>
      </c>
      <c r="R20" s="62">
        <v>3</v>
      </c>
      <c r="S20" s="62">
        <v>2</v>
      </c>
      <c r="T20" s="62">
        <v>6</v>
      </c>
      <c r="U20" s="62">
        <v>1</v>
      </c>
      <c r="V20" s="61">
        <f>IF(O20&gt;O21,1,0)+IF(P20&gt;P21,1,0)+IF(Q20&gt;Q21,1,0)+IF(R20&gt;R21,1,0)+IF(S20&gt;S21,1,0)+IF(T20&gt;T21,1,0)+IF(U20&gt;U21,1,0)</f>
        <v>3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>
        <v>2</v>
      </c>
      <c r="G21" s="62">
        <v>0</v>
      </c>
      <c r="H21" s="62">
        <v>1</v>
      </c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37</v>
      </c>
      <c r="N21" s="64" t="s">
        <v>51</v>
      </c>
      <c r="O21" s="62">
        <v>4</v>
      </c>
      <c r="P21" s="62">
        <v>4</v>
      </c>
      <c r="Q21" s="62">
        <v>2</v>
      </c>
      <c r="R21" s="62">
        <v>6</v>
      </c>
      <c r="S21" s="62">
        <v>5</v>
      </c>
      <c r="T21" s="62">
        <v>3</v>
      </c>
      <c r="U21" s="62">
        <v>2</v>
      </c>
      <c r="V21" s="61">
        <f>IF(O21&gt;O20,1,0)+IF(P21&gt;P20,1,0)+IF(Q21&gt;Q20,1,0)+IF(R21&gt;R20,1,0)+IF(S21&gt;S20,1,0)+IF(T21&gt;T20,1,0)+IF(U21&gt;U20,1,0)</f>
        <v>4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37</v>
      </c>
      <c r="Z22" s="64" t="s">
        <v>51</v>
      </c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33</v>
      </c>
      <c r="Z23" s="64" t="s">
        <v>44</v>
      </c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>
        <v>5</v>
      </c>
      <c r="F24" s="62">
        <v>4</v>
      </c>
      <c r="G24" s="62">
        <v>4</v>
      </c>
      <c r="H24" s="62"/>
      <c r="I24" s="63"/>
      <c r="J24" s="61">
        <f>IF(C24&gt;C25,1,0)+IF(D24&gt;D25,1,0)+IF(E24&gt;E25,1,0)+IF(F24&gt;F25,1,0)+IF(G24&gt;G25,1,0)+IF(H24&gt;H25,1,0)+IF(I24&gt;I25,1,0)</f>
        <v>4</v>
      </c>
      <c r="K24" s="12"/>
      <c r="L24" s="12"/>
      <c r="M24" s="60" t="s">
        <v>33</v>
      </c>
      <c r="N24" s="64" t="s">
        <v>44</v>
      </c>
      <c r="O24" s="62">
        <v>6</v>
      </c>
      <c r="P24" s="63">
        <v>1</v>
      </c>
      <c r="Q24" s="63">
        <v>5</v>
      </c>
      <c r="R24" s="63">
        <v>1</v>
      </c>
      <c r="S24" s="63">
        <v>4</v>
      </c>
      <c r="T24" s="63">
        <v>5</v>
      </c>
      <c r="U24" s="62"/>
      <c r="V24" s="61">
        <f>IF(O24&gt;O25,1,0)+IF(P24&gt;P25,1,0)+IF(Q24&gt;Q25,1,0)+IF(R24&gt;R25,1,0)+IF(S24&gt;S25,1,0)+IF(T24&gt;T25,1,0)+IF(U24&gt;U25,1,0)</f>
        <v>4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>
        <v>4</v>
      </c>
      <c r="F25" s="62">
        <v>2</v>
      </c>
      <c r="G25" s="62">
        <v>1</v>
      </c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34</v>
      </c>
      <c r="N25" s="64" t="s">
        <v>61</v>
      </c>
      <c r="O25" s="62">
        <v>4</v>
      </c>
      <c r="P25" s="63">
        <v>5</v>
      </c>
      <c r="Q25" s="63">
        <v>1</v>
      </c>
      <c r="R25" s="63">
        <v>4</v>
      </c>
      <c r="S25" s="63">
        <v>3</v>
      </c>
      <c r="T25" s="63">
        <v>2</v>
      </c>
      <c r="U25" s="62"/>
      <c r="V25" s="61">
        <f>IF(O25&gt;O24,1,0)+IF(P25&gt;P24,1,0)+IF(Q25&gt;Q24,1,0)+IF(R25&gt;R24,1,0)+IF(S25&gt;S24,1,0)+IF(T25&gt;T24,1,0)+IF(U25&gt;U24,1,0)</f>
        <v>2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>
        <v>5</v>
      </c>
      <c r="G27" s="62">
        <v>6</v>
      </c>
      <c r="H27" s="63">
        <v>6</v>
      </c>
      <c r="I27" s="62"/>
      <c r="J27" s="61">
        <f>IF(C27&gt;C28,1,0)+IF(D27&gt;D28,1,0)+IF(E27&gt;E28,1,0)+IF(F27&gt;F28,1,0)+IF(G27&gt;G28,1,0)+IF(H27&gt;H28,1,0)+IF(I27&gt;I28,1,0)</f>
        <v>4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>
        <v>4</v>
      </c>
      <c r="G28" s="62">
        <v>3</v>
      </c>
      <c r="H28" s="63">
        <v>3</v>
      </c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EB04-0219-41DB-960E-AB532E8842E9}">
  <dimension ref="A1"/>
  <sheetViews>
    <sheetView workbookViewId="0">
      <selection activeCell="L51" sqref="L51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Pool</vt:lpstr>
      <vt:lpstr>Résultats</vt:lpstr>
      <vt:lpstr>Règlements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2023-05-16T03:27:43Z</cp:lastPrinted>
  <dcterms:created xsi:type="dcterms:W3CDTF">2007-04-21T15:38:41Z</dcterms:created>
  <dcterms:modified xsi:type="dcterms:W3CDTF">2023-05-17T01:19:07Z</dcterms:modified>
</cp:coreProperties>
</file>