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t\pool\"/>
    </mc:Choice>
  </mc:AlternateContent>
  <xr:revisionPtr revIDLastSave="0" documentId="13_ncr:1_{572C5E65-B9FF-4BDF-A1F7-6D897ADFBE39}" xr6:coauthVersionLast="47" xr6:coauthVersionMax="47" xr10:uidLastSave="{00000000-0000-0000-0000-000000000000}"/>
  <bookViews>
    <workbookView xWindow="28740" yWindow="12495" windowWidth="28935" windowHeight="19185" xr2:uid="{00000000-000D-0000-FFFF-FFFF00000000}"/>
  </bookViews>
  <sheets>
    <sheet name="Pool" sheetId="16" r:id="rId1"/>
    <sheet name="Résultats" sheetId="7" r:id="rId2"/>
    <sheet name="Règlements" sheetId="17" r:id="rId3"/>
  </sheets>
  <definedNames>
    <definedName name="_xlnm._FilterDatabase" localSheetId="0" hidden="1">Pool!$B$11:$AL$30</definedName>
    <definedName name="PT_PREDICTION_EQUIPE_R1">Pool!$O$38</definedName>
    <definedName name="PT_PREDICTION_EQUIPE_R2">Pool!$P$38</definedName>
    <definedName name="PT_PREDICTION_EQUIPE_R3">Pool!$Q$38</definedName>
    <definedName name="PT_PREDICTION_EQUIPE_R4">Pool!$R$38</definedName>
    <definedName name="PT_PREDICTION_NB_PARTIES_R1">Pool!$O$39</definedName>
    <definedName name="PT_PREDICTION_NB_PARTIES_R2">Pool!$P$39</definedName>
    <definedName name="PT_PREDICTION_NB_PARTIES_R3">Pool!$Q$39</definedName>
    <definedName name="PT_PREDICTION_NB_PARTIES_R4">Pool!$R$39</definedName>
    <definedName name="PT_VICTOIRE_R1">Pool!$O$40</definedName>
    <definedName name="PT_VICTOIRE_R2">Pool!$P$40</definedName>
    <definedName name="PT_VICTOIRE_R3">Pool!$Q$40</definedName>
    <definedName name="PT_VICTOIRE_R4">Pool!$R$40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6" l="1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D10" i="16"/>
  <c r="AI34" i="16"/>
  <c r="AH34" i="16"/>
  <c r="AF34" i="16" l="1"/>
  <c r="AE34" i="16"/>
  <c r="AD34" i="16"/>
  <c r="AC34" i="16"/>
  <c r="AD29" i="16" l="1"/>
  <c r="AD30" i="16" s="1"/>
  <c r="AD21" i="16"/>
  <c r="AD22" i="16" s="1"/>
  <c r="AE17" i="16"/>
  <c r="AE18" i="16" s="1"/>
  <c r="AD17" i="16"/>
  <c r="AD18" i="16" s="1"/>
  <c r="AD9" i="16"/>
  <c r="AE13" i="16"/>
  <c r="AE14" i="16" s="1"/>
  <c r="AC13" i="16"/>
  <c r="AC14" i="16" s="1"/>
  <c r="AA21" i="16" l="1"/>
  <c r="AA22" i="16" s="1"/>
  <c r="T17" i="16"/>
  <c r="T18" i="16" s="1"/>
  <c r="AA34" i="16" l="1"/>
  <c r="Z34" i="16"/>
  <c r="Y34" i="16"/>
  <c r="X34" i="16"/>
  <c r="W34" i="16"/>
  <c r="V34" i="16"/>
  <c r="U34" i="16"/>
  <c r="T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C34" i="16" l="1"/>
  <c r="D34" i="16"/>
  <c r="AK42" i="16" l="1"/>
  <c r="P29" i="16" l="1"/>
  <c r="P30" i="16" s="1"/>
  <c r="D29" i="16"/>
  <c r="D30" i="16" s="1"/>
  <c r="L25" i="16"/>
  <c r="L26" i="16" s="1"/>
  <c r="D25" i="16"/>
  <c r="D26" i="16" s="1"/>
  <c r="L21" i="16"/>
  <c r="L22" i="16" s="1"/>
  <c r="F21" i="16"/>
  <c r="F22" i="16" s="1"/>
  <c r="D21" i="16"/>
  <c r="D22" i="16" s="1"/>
  <c r="L17" i="16"/>
  <c r="L18" i="16" s="1"/>
  <c r="L13" i="16" l="1"/>
  <c r="L14" i="16" s="1"/>
  <c r="AB40" i="16" l="1"/>
  <c r="J28" i="7"/>
  <c r="J27" i="7"/>
  <c r="V25" i="7"/>
  <c r="J25" i="7"/>
  <c r="V24" i="7"/>
  <c r="J24" i="7"/>
  <c r="AH23" i="7"/>
  <c r="AF7" i="16" s="1"/>
  <c r="AH22" i="7"/>
  <c r="AE7" i="16" s="1"/>
  <c r="V21" i="7"/>
  <c r="J21" i="7"/>
  <c r="V20" i="7"/>
  <c r="J20" i="7"/>
  <c r="J18" i="7"/>
  <c r="J17" i="7"/>
  <c r="AH16" i="7"/>
  <c r="AH15" i="7"/>
  <c r="J14" i="7"/>
  <c r="J13" i="7"/>
  <c r="V11" i="7"/>
  <c r="J11" i="7"/>
  <c r="V10" i="7"/>
  <c r="J10" i="7"/>
  <c r="G7" i="16" s="1"/>
  <c r="AH9" i="7"/>
  <c r="AD7" i="16" s="1"/>
  <c r="AH8" i="7"/>
  <c r="AC7" i="16" s="1"/>
  <c r="V7" i="7"/>
  <c r="J7" i="7"/>
  <c r="V6" i="7"/>
  <c r="J6" i="7"/>
  <c r="E7" i="16" s="1"/>
  <c r="J4" i="7"/>
  <c r="D7" i="16" s="1"/>
  <c r="D32" i="16" s="1"/>
  <c r="D33" i="16" s="1"/>
  <c r="J3" i="7"/>
  <c r="AI10" i="16"/>
  <c r="AH10" i="16"/>
  <c r="AF10" i="16"/>
  <c r="AE10" i="16"/>
  <c r="AD10" i="16"/>
  <c r="AC10" i="16"/>
  <c r="AA10" i="16"/>
  <c r="Z10" i="16"/>
  <c r="Y10" i="16"/>
  <c r="X10" i="16"/>
  <c r="W10" i="16"/>
  <c r="V10" i="16"/>
  <c r="U10" i="16"/>
  <c r="T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C10" i="16"/>
  <c r="AI9" i="16"/>
  <c r="AH9" i="16"/>
  <c r="AF9" i="16"/>
  <c r="AE9" i="16"/>
  <c r="AC9" i="16"/>
  <c r="AA9" i="16"/>
  <c r="Z9" i="16"/>
  <c r="Y9" i="16"/>
  <c r="X9" i="16"/>
  <c r="W9" i="16"/>
  <c r="V9" i="16"/>
  <c r="U9" i="16"/>
  <c r="T9" i="16"/>
  <c r="F7" i="16" l="1"/>
  <c r="F32" i="16" s="1"/>
  <c r="F33" i="16" s="1"/>
  <c r="E12" i="16"/>
  <c r="AC32" i="16"/>
  <c r="AC33" i="16" s="1"/>
  <c r="AC25" i="16"/>
  <c r="AC26" i="16" s="1"/>
  <c r="AE32" i="16"/>
  <c r="AE33" i="16" s="1"/>
  <c r="AF25" i="16"/>
  <c r="AF26" i="16" s="1"/>
  <c r="AF29" i="16"/>
  <c r="AF30" i="16" s="1"/>
  <c r="AE21" i="16"/>
  <c r="AE22" i="16" s="1"/>
  <c r="AE12" i="16"/>
  <c r="AE31" i="16"/>
  <c r="AE20" i="16"/>
  <c r="AE16" i="16"/>
  <c r="AF21" i="16"/>
  <c r="AF22" i="16" s="1"/>
  <c r="AF17" i="16"/>
  <c r="AF18" i="16" s="1"/>
  <c r="AF13" i="16"/>
  <c r="AF14" i="16" s="1"/>
  <c r="AF32" i="16"/>
  <c r="AF33" i="16" s="1"/>
  <c r="AE28" i="16"/>
  <c r="AE24" i="16"/>
  <c r="AE29" i="16"/>
  <c r="AE30" i="16" s="1"/>
  <c r="AE25" i="16"/>
  <c r="AE26" i="16" s="1"/>
  <c r="AD32" i="16"/>
  <c r="AD33" i="16" s="1"/>
  <c r="AD25" i="16"/>
  <c r="AD26" i="16" s="1"/>
  <c r="AD13" i="16"/>
  <c r="AD14" i="16" s="1"/>
  <c r="AC31" i="16"/>
  <c r="AC24" i="16"/>
  <c r="AC12" i="16"/>
  <c r="AC28" i="16"/>
  <c r="AC20" i="16"/>
  <c r="AC17" i="16"/>
  <c r="AC18" i="16" s="1"/>
  <c r="AC29" i="16"/>
  <c r="AC30" i="16" s="1"/>
  <c r="AC21" i="16"/>
  <c r="AC22" i="16" s="1"/>
  <c r="AC16" i="16"/>
  <c r="AH7" i="16"/>
  <c r="W7" i="16"/>
  <c r="W32" i="16" s="1"/>
  <c r="V7" i="16"/>
  <c r="H7" i="16"/>
  <c r="H25" i="16" s="1"/>
  <c r="O7" i="16"/>
  <c r="AA7" i="16"/>
  <c r="T7" i="16"/>
  <c r="T32" i="16" s="1"/>
  <c r="T33" i="16" s="1"/>
  <c r="AI7" i="16"/>
  <c r="Q7" i="16"/>
  <c r="U7" i="16"/>
  <c r="C7" i="16"/>
  <c r="C13" i="16" s="1"/>
  <c r="K7" i="16"/>
  <c r="P7" i="16"/>
  <c r="P32" i="16" s="1"/>
  <c r="P33" i="16" s="1"/>
  <c r="R7" i="16"/>
  <c r="M7" i="16"/>
  <c r="I7" i="16"/>
  <c r="I32" i="16" s="1"/>
  <c r="I33" i="16" s="1"/>
  <c r="Z7" i="16"/>
  <c r="L7" i="16"/>
  <c r="L32" i="16" s="1"/>
  <c r="L33" i="16" s="1"/>
  <c r="N7" i="16"/>
  <c r="N32" i="16" s="1"/>
  <c r="N33" i="16" s="1"/>
  <c r="Y7" i="16"/>
  <c r="J7" i="16"/>
  <c r="X7" i="16"/>
  <c r="W33" i="16" l="1"/>
  <c r="AH32" i="16"/>
  <c r="AH33" i="16" s="1"/>
  <c r="AH25" i="16"/>
  <c r="AH26" i="16" s="1"/>
  <c r="AH21" i="16"/>
  <c r="AH22" i="16" s="1"/>
  <c r="AI29" i="16"/>
  <c r="AI30" i="16" s="1"/>
  <c r="AI13" i="16"/>
  <c r="AI14" i="16" s="1"/>
  <c r="AI17" i="16"/>
  <c r="AI18" i="16" s="1"/>
  <c r="AA32" i="16"/>
  <c r="AA33" i="16" s="1"/>
  <c r="H26" i="16"/>
  <c r="AH29" i="16"/>
  <c r="AH30" i="16" s="1"/>
  <c r="AH13" i="16"/>
  <c r="AH14" i="16" s="1"/>
  <c r="AH17" i="16"/>
  <c r="AH18" i="16" s="1"/>
  <c r="AH28" i="16"/>
  <c r="AH12" i="16"/>
  <c r="AH16" i="16"/>
  <c r="AI32" i="16"/>
  <c r="AI33" i="16" s="1"/>
  <c r="AH24" i="16"/>
  <c r="AI21" i="16"/>
  <c r="AI22" i="16" s="1"/>
  <c r="AH31" i="16"/>
  <c r="AI25" i="16"/>
  <c r="AI26" i="16" s="1"/>
  <c r="AH20" i="16"/>
  <c r="L29" i="16"/>
  <c r="L30" i="16" s="1"/>
  <c r="T13" i="16"/>
  <c r="T14" i="16" s="1"/>
  <c r="W21" i="16"/>
  <c r="W22" i="16" s="1"/>
  <c r="W13" i="16"/>
  <c r="W14" i="16" s="1"/>
  <c r="W17" i="16"/>
  <c r="W18" i="16" s="1"/>
  <c r="P21" i="16"/>
  <c r="P22" i="16" s="1"/>
  <c r="Z17" i="16"/>
  <c r="Z18" i="16" s="1"/>
  <c r="AA13" i="16"/>
  <c r="AA14" i="16" s="1"/>
  <c r="Y32" i="16"/>
  <c r="Y33" i="16" s="1"/>
  <c r="Y17" i="16"/>
  <c r="Y18" i="16" s="1"/>
  <c r="X21" i="16"/>
  <c r="X22" i="16" s="1"/>
  <c r="X13" i="16"/>
  <c r="X14" i="16" s="1"/>
  <c r="T21" i="16"/>
  <c r="T22" i="16" s="1"/>
  <c r="W25" i="16"/>
  <c r="W26" i="16" s="1"/>
  <c r="V29" i="16"/>
  <c r="V30" i="16" s="1"/>
  <c r="Y29" i="16"/>
  <c r="Y30" i="16" s="1"/>
  <c r="X25" i="16"/>
  <c r="X26" i="16" s="1"/>
  <c r="U25" i="16"/>
  <c r="U26" i="16" s="1"/>
  <c r="T29" i="16"/>
  <c r="T30" i="16" s="1"/>
  <c r="Z29" i="16"/>
  <c r="Z30" i="16" s="1"/>
  <c r="AA25" i="16"/>
  <c r="AA26" i="16" s="1"/>
  <c r="AA17" i="16"/>
  <c r="AA18" i="16" s="1"/>
  <c r="Z16" i="16"/>
  <c r="AA29" i="16"/>
  <c r="AA30" i="16" s="1"/>
  <c r="Z28" i="16"/>
  <c r="Z21" i="16"/>
  <c r="Z22" i="16" s="1"/>
  <c r="Z13" i="16"/>
  <c r="Z14" i="16" s="1"/>
  <c r="Z32" i="16"/>
  <c r="Z33" i="16" s="1"/>
  <c r="Z31" i="16"/>
  <c r="Z25" i="16"/>
  <c r="Z26" i="16" s="1"/>
  <c r="Z24" i="16"/>
  <c r="Z12" i="16"/>
  <c r="Z20" i="16"/>
  <c r="X24" i="16"/>
  <c r="X20" i="16"/>
  <c r="Y25" i="16"/>
  <c r="Y26" i="16" s="1"/>
  <c r="Y21" i="16"/>
  <c r="Y22" i="16" s="1"/>
  <c r="Y13" i="16"/>
  <c r="Y14" i="16" s="1"/>
  <c r="X12" i="16"/>
  <c r="X32" i="16"/>
  <c r="X33" i="16" s="1"/>
  <c r="X17" i="16"/>
  <c r="X18" i="16" s="1"/>
  <c r="X31" i="16"/>
  <c r="X29" i="16"/>
  <c r="X30" i="16" s="1"/>
  <c r="X28" i="16"/>
  <c r="X16" i="16"/>
  <c r="W29" i="16"/>
  <c r="W30" i="16" s="1"/>
  <c r="V28" i="16"/>
  <c r="V24" i="16"/>
  <c r="V32" i="16"/>
  <c r="V33" i="16" s="1"/>
  <c r="V31" i="16"/>
  <c r="V16" i="16"/>
  <c r="V21" i="16"/>
  <c r="V22" i="16" s="1"/>
  <c r="V20" i="16"/>
  <c r="V13" i="16"/>
  <c r="V14" i="16" s="1"/>
  <c r="V12" i="16"/>
  <c r="V25" i="16"/>
  <c r="V26" i="16" s="1"/>
  <c r="V17" i="16"/>
  <c r="V18" i="16" s="1"/>
  <c r="T25" i="16"/>
  <c r="T26" i="16" s="1"/>
  <c r="T24" i="16"/>
  <c r="U13" i="16"/>
  <c r="U14" i="16" s="1"/>
  <c r="T20" i="16"/>
  <c r="T16" i="16"/>
  <c r="T12" i="16"/>
  <c r="U32" i="16"/>
  <c r="U33" i="16" s="1"/>
  <c r="U29" i="16"/>
  <c r="U30" i="16" s="1"/>
  <c r="U21" i="16"/>
  <c r="U22" i="16" s="1"/>
  <c r="U17" i="16"/>
  <c r="U18" i="16" s="1"/>
  <c r="T31" i="16"/>
  <c r="T28" i="16"/>
  <c r="H29" i="16"/>
  <c r="H30" i="16" s="1"/>
  <c r="F29" i="16"/>
  <c r="F30" i="16" s="1"/>
  <c r="F13" i="16"/>
  <c r="F14" i="16" s="1"/>
  <c r="Q32" i="16"/>
  <c r="Q33" i="16" s="1"/>
  <c r="P17" i="16"/>
  <c r="P18" i="16" s="1"/>
  <c r="H32" i="16"/>
  <c r="H33" i="16" s="1"/>
  <c r="J17" i="16"/>
  <c r="J18" i="16" s="1"/>
  <c r="H17" i="16"/>
  <c r="H18" i="16" s="1"/>
  <c r="N17" i="16"/>
  <c r="N18" i="16" s="1"/>
  <c r="N25" i="16"/>
  <c r="N26" i="16" s="1"/>
  <c r="N13" i="16"/>
  <c r="N14" i="16" s="1"/>
  <c r="Q25" i="16"/>
  <c r="Q26" i="16" s="1"/>
  <c r="Q17" i="16"/>
  <c r="Q18" i="16" s="1"/>
  <c r="D17" i="16"/>
  <c r="D18" i="16" s="1"/>
  <c r="R32" i="16"/>
  <c r="R33" i="16" s="1"/>
  <c r="Q31" i="16"/>
  <c r="C32" i="16"/>
  <c r="C31" i="16"/>
  <c r="E32" i="16"/>
  <c r="E33" i="16" s="1"/>
  <c r="E31" i="16"/>
  <c r="K32" i="16"/>
  <c r="K33" i="16" s="1"/>
  <c r="K31" i="16"/>
  <c r="O31" i="16"/>
  <c r="O32" i="16"/>
  <c r="O33" i="16" s="1"/>
  <c r="J32" i="16"/>
  <c r="J33" i="16" s="1"/>
  <c r="I31" i="16"/>
  <c r="M32" i="16"/>
  <c r="M33" i="16" s="1"/>
  <c r="M31" i="16"/>
  <c r="G31" i="16"/>
  <c r="G32" i="16"/>
  <c r="G33" i="16" s="1"/>
  <c r="J29" i="16"/>
  <c r="J30" i="16" s="1"/>
  <c r="J25" i="16"/>
  <c r="J26" i="16" s="1"/>
  <c r="J21" i="16"/>
  <c r="J22" i="16" s="1"/>
  <c r="J13" i="16"/>
  <c r="J14" i="16" s="1"/>
  <c r="C17" i="16"/>
  <c r="C18" i="16" s="1"/>
  <c r="C14" i="16"/>
  <c r="E17" i="16"/>
  <c r="E18" i="16" s="1"/>
  <c r="F25" i="16"/>
  <c r="F26" i="16" s="1"/>
  <c r="M29" i="16"/>
  <c r="M30" i="16" s="1"/>
  <c r="H21" i="16"/>
  <c r="H22" i="16" s="1"/>
  <c r="H13" i="16"/>
  <c r="H14" i="16" s="1"/>
  <c r="R29" i="16"/>
  <c r="R30" i="16" s="1"/>
  <c r="N29" i="16"/>
  <c r="N30" i="16" s="1"/>
  <c r="N21" i="16"/>
  <c r="N22" i="16" s="1"/>
  <c r="Q21" i="16"/>
  <c r="Q22" i="16" s="1"/>
  <c r="Q13" i="16"/>
  <c r="Q14" i="16" s="1"/>
  <c r="O25" i="16"/>
  <c r="O26" i="16" s="1"/>
  <c r="O13" i="16"/>
  <c r="O14" i="16" s="1"/>
  <c r="R21" i="16"/>
  <c r="R22" i="16" s="1"/>
  <c r="R17" i="16"/>
  <c r="R18" i="16" s="1"/>
  <c r="R25" i="16"/>
  <c r="R26" i="16" s="1"/>
  <c r="C29" i="16"/>
  <c r="C30" i="16" s="1"/>
  <c r="C21" i="16"/>
  <c r="C22" i="16" s="1"/>
  <c r="C25" i="16"/>
  <c r="C26" i="16" s="1"/>
  <c r="E25" i="16"/>
  <c r="E26" i="16" s="1"/>
  <c r="E21" i="16"/>
  <c r="E22" i="16" s="1"/>
  <c r="E29" i="16"/>
  <c r="E30" i="16" s="1"/>
  <c r="F17" i="16"/>
  <c r="F18" i="16" s="1"/>
  <c r="P25" i="16"/>
  <c r="P26" i="16" s="1"/>
  <c r="M25" i="16"/>
  <c r="M26" i="16" s="1"/>
  <c r="M21" i="16"/>
  <c r="M22" i="16" s="1"/>
  <c r="M17" i="16"/>
  <c r="M18" i="16" s="1"/>
  <c r="G21" i="16"/>
  <c r="G22" i="16" s="1"/>
  <c r="G17" i="16"/>
  <c r="G18" i="16" s="1"/>
  <c r="G29" i="16"/>
  <c r="G30" i="16" s="1"/>
  <c r="G25" i="16"/>
  <c r="G26" i="16" s="1"/>
  <c r="I25" i="16"/>
  <c r="I26" i="16" s="1"/>
  <c r="I21" i="16"/>
  <c r="I22" i="16" s="1"/>
  <c r="I17" i="16"/>
  <c r="I18" i="16" s="1"/>
  <c r="I29" i="16"/>
  <c r="I30" i="16" s="1"/>
  <c r="K29" i="16"/>
  <c r="K30" i="16" s="1"/>
  <c r="K21" i="16"/>
  <c r="K22" i="16" s="1"/>
  <c r="K25" i="16"/>
  <c r="K26" i="16" s="1"/>
  <c r="K17" i="16"/>
  <c r="K18" i="16" s="1"/>
  <c r="Q29" i="16"/>
  <c r="Q30" i="16" s="1"/>
  <c r="O21" i="16"/>
  <c r="O22" i="16" s="1"/>
  <c r="O17" i="16"/>
  <c r="O18" i="16" s="1"/>
  <c r="O29" i="16"/>
  <c r="O30" i="16" s="1"/>
  <c r="D13" i="16"/>
  <c r="D14" i="16" s="1"/>
  <c r="G13" i="16"/>
  <c r="G14" i="16" s="1"/>
  <c r="R13" i="16"/>
  <c r="R14" i="16" s="1"/>
  <c r="E13" i="16"/>
  <c r="E14" i="16" s="1"/>
  <c r="P13" i="16"/>
  <c r="P14" i="16" s="1"/>
  <c r="M13" i="16"/>
  <c r="M14" i="16" s="1"/>
  <c r="I13" i="16"/>
  <c r="I14" i="16" s="1"/>
  <c r="K13" i="16"/>
  <c r="K14" i="16" s="1"/>
  <c r="C8" i="16"/>
  <c r="C12" i="16"/>
  <c r="C20" i="16"/>
  <c r="C28" i="16"/>
  <c r="C16" i="16"/>
  <c r="C24" i="16"/>
  <c r="O12" i="16"/>
  <c r="O20" i="16"/>
  <c r="O28" i="16"/>
  <c r="O16" i="16"/>
  <c r="O24" i="16"/>
  <c r="M28" i="16"/>
  <c r="M20" i="16"/>
  <c r="M24" i="16"/>
  <c r="M12" i="16"/>
  <c r="M16" i="16"/>
  <c r="Q20" i="16"/>
  <c r="Q16" i="16"/>
  <c r="Q12" i="16"/>
  <c r="Q28" i="16"/>
  <c r="Q24" i="16"/>
  <c r="E20" i="16"/>
  <c r="E16" i="16"/>
  <c r="E28" i="16"/>
  <c r="E24" i="16"/>
  <c r="I20" i="16"/>
  <c r="I12" i="16"/>
  <c r="I28" i="16"/>
  <c r="I24" i="16"/>
  <c r="I16" i="16"/>
  <c r="K24" i="16"/>
  <c r="K12" i="16"/>
  <c r="K28" i="16"/>
  <c r="K16" i="16"/>
  <c r="K20" i="16"/>
  <c r="G20" i="16"/>
  <c r="G24" i="16"/>
  <c r="G16" i="16"/>
  <c r="G12" i="16"/>
  <c r="G28" i="16"/>
  <c r="C33" i="16" l="1"/>
  <c r="AK33" i="16" s="1"/>
  <c r="AK32" i="16"/>
  <c r="AK29" i="16"/>
  <c r="AK30" i="16"/>
  <c r="AK17" i="16"/>
  <c r="AK18" i="16"/>
  <c r="AK21" i="16"/>
  <c r="AK13" i="16"/>
  <c r="AK22" i="16"/>
  <c r="AK25" i="16"/>
  <c r="AK26" i="16"/>
  <c r="AK14" i="16"/>
  <c r="AJ11" i="16"/>
  <c r="AG11" i="16"/>
  <c r="AB11" i="16"/>
  <c r="AJ15" i="16"/>
  <c r="AJ23" i="16"/>
  <c r="AJ27" i="16"/>
  <c r="AG27" i="16"/>
  <c r="AB27" i="16"/>
  <c r="S23" i="16"/>
  <c r="S27" i="16"/>
  <c r="AJ19" i="16"/>
  <c r="S15" i="16"/>
  <c r="AG19" i="16"/>
  <c r="AG23" i="16"/>
  <c r="AG15" i="16"/>
  <c r="AB23" i="16"/>
  <c r="AB15" i="16"/>
  <c r="AB19" i="16"/>
  <c r="S11" i="16"/>
  <c r="S19" i="16"/>
  <c r="AL11" i="16" l="1"/>
  <c r="AL27" i="16"/>
  <c r="AL15" i="16"/>
  <c r="AL23" i="16"/>
  <c r="AL19" i="16"/>
  <c r="A31" i="16" l="1"/>
  <c r="A12" i="16"/>
  <c r="A19" i="16"/>
  <c r="A23" i="16"/>
  <c r="A15" i="16"/>
  <c r="A16" i="16"/>
  <c r="A28" i="16"/>
  <c r="A24" i="16"/>
  <c r="A20" i="16"/>
  <c r="A27" i="16"/>
  <c r="A11" i="16"/>
  <c r="AK20" i="16"/>
  <c r="AK28" i="16"/>
  <c r="AK24" i="16"/>
  <c r="AK16" i="16"/>
  <c r="AK27" i="16"/>
  <c r="AK11" i="16"/>
  <c r="AK19" i="16"/>
  <c r="AK23" i="16"/>
  <c r="AK15" i="16"/>
</calcChain>
</file>

<file path=xl/sharedStrings.xml><?xml version="1.0" encoding="utf-8"?>
<sst xmlns="http://schemas.openxmlformats.org/spreadsheetml/2006/main" count="90" uniqueCount="69">
  <si>
    <t>RONDE 1</t>
  </si>
  <si>
    <t>RONDE 2</t>
  </si>
  <si>
    <t>RONDE 3</t>
  </si>
  <si>
    <t>TOTAL</t>
  </si>
  <si>
    <t>Points pour les victoires</t>
  </si>
  <si>
    <t>Points pour les prédictions exactes du nombre de parties</t>
  </si>
  <si>
    <t>Points pour les prédictions exactes des équipes</t>
  </si>
  <si>
    <t>#</t>
  </si>
  <si>
    <t>OUEST</t>
  </si>
  <si>
    <t>EST</t>
  </si>
  <si>
    <t>R4</t>
  </si>
  <si>
    <t>NOM</t>
  </si>
  <si>
    <t>Sous-total - RONDE 1</t>
  </si>
  <si>
    <t>Sous-total - RONDE 2</t>
  </si>
  <si>
    <t>Sous-total - RONDE 3</t>
  </si>
  <si>
    <t>Sous-total - RONDE 4</t>
  </si>
  <si>
    <t>SYSTÈME DE POINTAGE</t>
  </si>
  <si>
    <t>RONDES</t>
  </si>
  <si>
    <t>Prix d'inscription</t>
  </si>
  <si>
    <t>Total</t>
  </si>
  <si>
    <t>Nb. Participants</t>
  </si>
  <si>
    <t>1ère place</t>
  </si>
  <si>
    <t>2e place</t>
  </si>
  <si>
    <t>4e place</t>
  </si>
  <si>
    <t>BOURSES</t>
  </si>
  <si>
    <t>3e place</t>
  </si>
  <si>
    <t>INFORMATIONS</t>
  </si>
  <si>
    <t>A1</t>
  </si>
  <si>
    <t>A2</t>
  </si>
  <si>
    <t>A3</t>
  </si>
  <si>
    <t>M1</t>
  </si>
  <si>
    <t>M2</t>
  </si>
  <si>
    <t>M3</t>
  </si>
  <si>
    <t>P1</t>
  </si>
  <si>
    <t>P2</t>
  </si>
  <si>
    <t>P3</t>
  </si>
  <si>
    <t>C1</t>
  </si>
  <si>
    <t>C2</t>
  </si>
  <si>
    <t>C3</t>
  </si>
  <si>
    <t>TAMPA BAY</t>
  </si>
  <si>
    <t>BOSTON</t>
  </si>
  <si>
    <t>TORONTO</t>
  </si>
  <si>
    <t>COLORADO</t>
  </si>
  <si>
    <t>WINNIPEG</t>
  </si>
  <si>
    <t>VEGAS</t>
  </si>
  <si>
    <t xml:space="preserve">Résultats complets disponibles à l'adresse suivante : </t>
  </si>
  <si>
    <t>ÉCART</t>
  </si>
  <si>
    <t>Prédiction équipe</t>
  </si>
  <si>
    <t>Prédiciton nb matchs</t>
  </si>
  <si>
    <t>WC2</t>
  </si>
  <si>
    <t>WC1</t>
  </si>
  <si>
    <t>DALLAS</t>
  </si>
  <si>
    <t xml:space="preserve">Bracket : </t>
  </si>
  <si>
    <t>https://staker4.github.io/pool/bracket.pdf</t>
  </si>
  <si>
    <t>FLORIDA</t>
  </si>
  <si>
    <t>CAROLINA</t>
  </si>
  <si>
    <t>NY ISLANDERS</t>
  </si>
  <si>
    <t>NEW JERSEY</t>
  </si>
  <si>
    <t>NY RANGERS</t>
  </si>
  <si>
    <t>SEATTLE</t>
  </si>
  <si>
    <t>MINNESOTA</t>
  </si>
  <si>
    <t>EDMONTON</t>
  </si>
  <si>
    <t>LOS ANGELES</t>
  </si>
  <si>
    <t>Fred Gaudet</t>
  </si>
  <si>
    <t>Marco</t>
  </si>
  <si>
    <t>Alain</t>
  </si>
  <si>
    <t>Ray</t>
  </si>
  <si>
    <t>Fred Gabriel</t>
  </si>
  <si>
    <t>https://staker4.github.io/pool/chalet.pdf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</si>
</sst>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)\ &quot;$&quot;_ ;_ * \(#,##0.00\)\ &quot;$&quot;_ ;_ * &quot;-&quot;??_)\ &quot;$&quot;_ ;_ @_ "/>
    <numFmt numFmtId="165" formatCode="_ * #,##0.00_)\ _$_ ;_ * \(#,##0.00\)\ _$_ ;_ * &quot;-&quot;??_)\ _$_ ;_ @_ "/>
    <numFmt numFmtId="166" formatCode="_ * #,##0.00_)\ [$€-1]_ ;_ * \(#,##0.00\)\ [$€-1]_ ;_ * &quot;-&quot;??_)\ [$€-1]_ "/>
    <numFmt numFmtId="167" formatCode="_ * #,##0_)\ &quot;$&quot;_ ;_ * \(#,##0\)\ &quot;$&quot;_ ;_ * &quot;-&quot;??_)\ &quot;$&quot;_ ;_ @_ "/>
    <numFmt numFmtId="168" formatCode="_ * #,##0_)\ _$_ ;_ * \(#,##0\)\ _$_ ;_ * &quot;-&quot;??_)\ _$_ ;_ @_ 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1" fillId="3" borderId="19" xfId="0" applyFont="1" applyFill="1" applyBorder="1" applyAlignment="1">
      <alignment horizontal="center"/>
    </xf>
    <xf numFmtId="0" fontId="10" fillId="0" borderId="6" xfId="0" applyFont="1" applyBorder="1"/>
    <xf numFmtId="0" fontId="2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0" fontId="11" fillId="0" borderId="0" xfId="0" applyFont="1"/>
    <xf numFmtId="0" fontId="11" fillId="3" borderId="2" xfId="0" applyFont="1" applyFill="1" applyBorder="1"/>
    <xf numFmtId="0" fontId="11" fillId="0" borderId="18" xfId="0" applyFont="1" applyBorder="1"/>
    <xf numFmtId="0" fontId="11" fillId="0" borderId="7" xfId="0" applyFont="1" applyBorder="1"/>
    <xf numFmtId="167" fontId="1" fillId="0" borderId="16" xfId="4" applyNumberFormat="1" applyBorder="1"/>
    <xf numFmtId="0" fontId="13" fillId="0" borderId="0" xfId="0" applyFont="1"/>
    <xf numFmtId="0" fontId="9" fillId="0" borderId="0" xfId="0" applyFont="1"/>
    <xf numFmtId="0" fontId="14" fillId="0" borderId="37" xfId="0" applyFont="1" applyBorder="1"/>
    <xf numFmtId="0" fontId="12" fillId="0" borderId="0" xfId="2" applyNumberFormat="1" applyFont="1" applyAlignment="1" applyProtection="1"/>
    <xf numFmtId="0" fontId="14" fillId="0" borderId="42" xfId="0" applyFont="1" applyBorder="1" applyAlignment="1">
      <alignment horizontal="right"/>
    </xf>
    <xf numFmtId="0" fontId="4" fillId="0" borderId="0" xfId="0" applyFont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11" fillId="3" borderId="48" xfId="0" applyFont="1" applyFill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5" xfId="0" applyFont="1" applyBorder="1"/>
    <xf numFmtId="0" fontId="2" fillId="0" borderId="66" xfId="0" applyFont="1" applyBorder="1"/>
    <xf numFmtId="0" fontId="11" fillId="0" borderId="3" xfId="0" applyFont="1" applyBorder="1"/>
    <xf numFmtId="1" fontId="5" fillId="0" borderId="68" xfId="0" applyNumberFormat="1" applyFont="1" applyBorder="1" applyAlignment="1">
      <alignment horizontal="center"/>
    </xf>
    <xf numFmtId="1" fontId="5" fillId="0" borderId="69" xfId="0" applyNumberFormat="1" applyFont="1" applyBorder="1" applyAlignment="1">
      <alignment horizontal="center"/>
    </xf>
    <xf numFmtId="1" fontId="5" fillId="0" borderId="70" xfId="0" applyNumberFormat="1" applyFont="1" applyBorder="1" applyAlignment="1">
      <alignment horizontal="center"/>
    </xf>
    <xf numFmtId="1" fontId="5" fillId="0" borderId="71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72" xfId="0" applyNumberFormat="1" applyFont="1" applyBorder="1" applyAlignment="1">
      <alignment horizontal="center"/>
    </xf>
    <xf numFmtId="1" fontId="5" fillId="0" borderId="73" xfId="0" applyNumberFormat="1" applyFont="1" applyBorder="1" applyAlignment="1">
      <alignment horizontal="center"/>
    </xf>
    <xf numFmtId="0" fontId="10" fillId="0" borderId="3" xfId="0" applyFont="1" applyBorder="1"/>
    <xf numFmtId="0" fontId="4" fillId="3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1" fillId="0" borderId="13" xfId="0" applyFont="1" applyBorder="1"/>
    <xf numFmtId="0" fontId="1" fillId="0" borderId="74" xfId="0" applyFont="1" applyBorder="1" applyAlignment="1">
      <alignment vertical="center"/>
    </xf>
    <xf numFmtId="0" fontId="2" fillId="0" borderId="49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8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0" borderId="3" xfId="0" applyFont="1" applyBorder="1"/>
    <xf numFmtId="0" fontId="1" fillId="0" borderId="46" xfId="0" applyFont="1" applyBorder="1" applyAlignment="1">
      <alignment vertical="center"/>
    </xf>
    <xf numFmtId="0" fontId="11" fillId="0" borderId="95" xfId="0" applyFont="1" applyBorder="1" applyAlignment="1">
      <alignment horizontal="right" vertical="center"/>
    </xf>
    <xf numFmtId="1" fontId="5" fillId="0" borderId="0" xfId="0" applyNumberFormat="1" applyFont="1" applyAlignment="1">
      <alignment horizontal="center"/>
    </xf>
    <xf numFmtId="0" fontId="11" fillId="0" borderId="23" xfId="0" applyFont="1" applyBorder="1" applyAlignment="1">
      <alignment horizontal="center" vertical="center" textRotation="90"/>
    </xf>
    <xf numFmtId="0" fontId="11" fillId="0" borderId="25" xfId="0" applyFont="1" applyBorder="1" applyAlignment="1">
      <alignment horizontal="center" vertical="center" textRotation="90"/>
    </xf>
    <xf numFmtId="0" fontId="11" fillId="0" borderId="26" xfId="0" applyFont="1" applyBorder="1" applyAlignment="1">
      <alignment horizontal="center" vertical="center" textRotation="90"/>
    </xf>
    <xf numFmtId="0" fontId="11" fillId="0" borderId="28" xfId="0" applyFont="1" applyBorder="1" applyAlignment="1">
      <alignment horizontal="center" vertical="center" textRotation="90"/>
    </xf>
    <xf numFmtId="0" fontId="14" fillId="4" borderId="47" xfId="0" applyFont="1" applyFill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1" fillId="0" borderId="62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 textRotation="90"/>
    </xf>
    <xf numFmtId="0" fontId="11" fillId="0" borderId="101" xfId="0" applyFont="1" applyBorder="1" applyAlignment="1">
      <alignment horizontal="center" vertical="center" textRotation="90"/>
    </xf>
    <xf numFmtId="0" fontId="11" fillId="0" borderId="102" xfId="0" applyFont="1" applyBorder="1" applyAlignment="1">
      <alignment horizontal="center" vertical="center" textRotation="90"/>
    </xf>
    <xf numFmtId="0" fontId="11" fillId="0" borderId="103" xfId="0" applyFont="1" applyBorder="1" applyAlignment="1">
      <alignment horizontal="center" vertical="center" textRotation="90"/>
    </xf>
    <xf numFmtId="0" fontId="11" fillId="0" borderId="44" xfId="0" applyFont="1" applyBorder="1" applyAlignment="1">
      <alignment horizontal="right" vertical="center"/>
    </xf>
    <xf numFmtId="0" fontId="5" fillId="0" borderId="9" xfId="0" applyFont="1" applyBorder="1"/>
    <xf numFmtId="0" fontId="5" fillId="0" borderId="92" xfId="0" applyFont="1" applyBorder="1"/>
    <xf numFmtId="0" fontId="11" fillId="0" borderId="63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" fillId="0" borderId="104" xfId="0" applyFont="1" applyBorder="1" applyAlignment="1">
      <alignment vertical="center"/>
    </xf>
    <xf numFmtId="0" fontId="14" fillId="0" borderId="92" xfId="0" applyFont="1" applyBorder="1"/>
    <xf numFmtId="0" fontId="9" fillId="0" borderId="9" xfId="0" applyFont="1" applyBorder="1"/>
    <xf numFmtId="0" fontId="9" fillId="0" borderId="91" xfId="0" applyFont="1" applyBorder="1"/>
    <xf numFmtId="0" fontId="9" fillId="0" borderId="92" xfId="0" applyFont="1" applyBorder="1"/>
    <xf numFmtId="0" fontId="9" fillId="0" borderId="93" xfId="0" applyFont="1" applyBorder="1"/>
    <xf numFmtId="0" fontId="9" fillId="0" borderId="94" xfId="0" applyFont="1" applyBorder="1"/>
    <xf numFmtId="0" fontId="9" fillId="0" borderId="5" xfId="0" applyFont="1" applyBorder="1"/>
    <xf numFmtId="0" fontId="9" fillId="0" borderId="66" xfId="0" applyFont="1" applyBorder="1"/>
    <xf numFmtId="0" fontId="14" fillId="0" borderId="9" xfId="0" applyFont="1" applyBorder="1"/>
    <xf numFmtId="0" fontId="7" fillId="0" borderId="67" xfId="0" applyFont="1" applyBorder="1" applyAlignment="1">
      <alignment horizontal="center" vertical="center"/>
    </xf>
    <xf numFmtId="0" fontId="5" fillId="0" borderId="0" xfId="0" applyFont="1"/>
    <xf numFmtId="0" fontId="5" fillId="0" borderId="91" xfId="0" applyFont="1" applyBorder="1"/>
    <xf numFmtId="0" fontId="5" fillId="0" borderId="93" xfId="0" applyFont="1" applyBorder="1"/>
    <xf numFmtId="0" fontId="5" fillId="0" borderId="94" xfId="0" applyFont="1" applyBorder="1"/>
    <xf numFmtId="0" fontId="5" fillId="0" borderId="5" xfId="0" applyFont="1" applyBorder="1"/>
    <xf numFmtId="0" fontId="7" fillId="0" borderId="63" xfId="0" applyFont="1" applyBorder="1" applyAlignment="1">
      <alignment horizontal="center" vertical="center"/>
    </xf>
    <xf numFmtId="0" fontId="14" fillId="0" borderId="91" xfId="0" applyFont="1" applyBorder="1"/>
    <xf numFmtId="0" fontId="14" fillId="0" borderId="93" xfId="0" applyFont="1" applyBorder="1"/>
    <xf numFmtId="0" fontId="14" fillId="0" borderId="94" xfId="0" applyFont="1" applyBorder="1"/>
    <xf numFmtId="0" fontId="14" fillId="0" borderId="5" xfId="0" applyFont="1" applyBorder="1"/>
    <xf numFmtId="0" fontId="7" fillId="0" borderId="9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textRotation="90"/>
    </xf>
    <xf numFmtId="0" fontId="11" fillId="0" borderId="98" xfId="0" applyFont="1" applyBorder="1" applyAlignment="1">
      <alignment horizontal="center" vertical="center" textRotation="90"/>
    </xf>
    <xf numFmtId="0" fontId="9" fillId="0" borderId="30" xfId="0" applyFont="1" applyBorder="1" applyAlignment="1">
      <alignment horizontal="center" textRotation="90"/>
    </xf>
    <xf numFmtId="0" fontId="11" fillId="0" borderId="24" xfId="0" applyFont="1" applyBorder="1" applyAlignment="1">
      <alignment horizontal="center" vertical="center" textRotation="90"/>
    </xf>
    <xf numFmtId="0" fontId="11" fillId="0" borderId="100" xfId="0" applyFont="1" applyBorder="1" applyAlignment="1">
      <alignment horizontal="center" vertical="center" textRotation="90"/>
    </xf>
    <xf numFmtId="0" fontId="9" fillId="0" borderId="31" xfId="0" applyFont="1" applyBorder="1" applyAlignment="1">
      <alignment horizontal="center" textRotation="90"/>
    </xf>
    <xf numFmtId="0" fontId="9" fillId="0" borderId="32" xfId="0" applyFont="1" applyBorder="1" applyAlignment="1">
      <alignment horizontal="center" textRotation="90"/>
    </xf>
    <xf numFmtId="0" fontId="9" fillId="0" borderId="33" xfId="0" applyFont="1" applyBorder="1" applyAlignment="1">
      <alignment horizontal="center" textRotation="90"/>
    </xf>
    <xf numFmtId="0" fontId="9" fillId="0" borderId="34" xfId="0" applyFont="1" applyBorder="1" applyAlignment="1">
      <alignment horizontal="center" textRotation="90"/>
    </xf>
    <xf numFmtId="0" fontId="9" fillId="0" borderId="35" xfId="0" applyFont="1" applyBorder="1" applyAlignment="1">
      <alignment horizontal="center" textRotation="90"/>
    </xf>
    <xf numFmtId="0" fontId="9" fillId="0" borderId="42" xfId="0" applyFont="1" applyBorder="1" applyAlignment="1">
      <alignment horizontal="center" vertical="center" textRotation="90"/>
    </xf>
    <xf numFmtId="0" fontId="9" fillId="0" borderId="51" xfId="0" applyFont="1" applyBorder="1" applyAlignment="1">
      <alignment horizontal="center" vertical="center" textRotation="90"/>
    </xf>
    <xf numFmtId="0" fontId="9" fillId="0" borderId="52" xfId="0" applyFont="1" applyBorder="1" applyAlignment="1">
      <alignment horizontal="center" vertical="center" textRotation="90"/>
    </xf>
    <xf numFmtId="0" fontId="9" fillId="0" borderId="53" xfId="0" applyFont="1" applyBorder="1" applyAlignment="1">
      <alignment horizontal="center" vertical="center" textRotation="90"/>
    </xf>
    <xf numFmtId="0" fontId="9" fillId="0" borderId="54" xfId="0" applyFont="1" applyBorder="1" applyAlignment="1">
      <alignment horizontal="center" vertical="center" textRotation="90"/>
    </xf>
    <xf numFmtId="0" fontId="9" fillId="0" borderId="55" xfId="0" applyFont="1" applyBorder="1" applyAlignment="1">
      <alignment horizontal="center" vertical="center" textRotation="90"/>
    </xf>
    <xf numFmtId="0" fontId="9" fillId="0" borderId="37" xfId="0" applyFont="1" applyBorder="1" applyAlignment="1">
      <alignment horizontal="center" vertical="center" textRotation="90"/>
    </xf>
    <xf numFmtId="0" fontId="11" fillId="0" borderId="49" xfId="0" applyFont="1" applyBorder="1" applyAlignment="1">
      <alignment horizontal="center" vertical="center" textRotation="90"/>
    </xf>
    <xf numFmtId="0" fontId="9" fillId="0" borderId="50" xfId="0" applyFont="1" applyBorder="1" applyAlignment="1">
      <alignment horizontal="center" textRotation="90"/>
    </xf>
    <xf numFmtId="0" fontId="9" fillId="0" borderId="36" xfId="0" applyFont="1" applyBorder="1" applyAlignment="1">
      <alignment horizontal="center" textRotation="90"/>
    </xf>
    <xf numFmtId="0" fontId="9" fillId="0" borderId="56" xfId="0" applyFont="1" applyBorder="1" applyAlignment="1">
      <alignment horizontal="center" vertical="center" textRotation="90"/>
    </xf>
    <xf numFmtId="0" fontId="9" fillId="0" borderId="57" xfId="0" applyFont="1" applyBorder="1" applyAlignment="1">
      <alignment horizontal="center" vertical="center" textRotation="90"/>
    </xf>
    <xf numFmtId="0" fontId="11" fillId="0" borderId="105" xfId="0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67" fontId="1" fillId="0" borderId="15" xfId="4" applyNumberFormat="1" applyBorder="1"/>
    <xf numFmtId="167" fontId="0" fillId="0" borderId="20" xfId="0" applyNumberFormat="1" applyBorder="1"/>
    <xf numFmtId="167" fontId="1" fillId="0" borderId="29" xfId="4" applyNumberFormat="1" applyBorder="1"/>
    <xf numFmtId="0" fontId="14" fillId="0" borderId="25" xfId="0" applyFont="1" applyBorder="1" applyAlignment="1">
      <alignment horizontal="center"/>
    </xf>
    <xf numFmtId="1" fontId="5" fillId="0" borderId="109" xfId="0" applyNumberFormat="1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1" fillId="7" borderId="44" xfId="0" applyFont="1" applyFill="1" applyBorder="1" applyAlignment="1">
      <alignment horizontal="right" vertical="center"/>
    </xf>
    <xf numFmtId="0" fontId="1" fillId="7" borderId="74" xfId="0" applyFont="1" applyFill="1" applyBorder="1" applyAlignment="1">
      <alignment vertical="center"/>
    </xf>
    <xf numFmtId="0" fontId="2" fillId="7" borderId="44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7" borderId="45" xfId="0" applyFont="1" applyFill="1" applyBorder="1" applyAlignment="1">
      <alignment horizontal="center"/>
    </xf>
    <xf numFmtId="0" fontId="2" fillId="7" borderId="40" xfId="0" applyFont="1" applyFill="1" applyBorder="1" applyAlignment="1">
      <alignment horizontal="center"/>
    </xf>
    <xf numFmtId="0" fontId="2" fillId="7" borderId="38" xfId="0" applyFont="1" applyFill="1" applyBorder="1" applyAlignment="1">
      <alignment horizontal="center"/>
    </xf>
    <xf numFmtId="0" fontId="2" fillId="7" borderId="41" xfId="0" applyFont="1" applyFill="1" applyBorder="1" applyAlignment="1">
      <alignment horizontal="center"/>
    </xf>
    <xf numFmtId="0" fontId="2" fillId="7" borderId="46" xfId="0" applyFont="1" applyFill="1" applyBorder="1" applyAlignment="1">
      <alignment horizontal="center"/>
    </xf>
    <xf numFmtId="0" fontId="11" fillId="7" borderId="64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/>
    </xf>
    <xf numFmtId="0" fontId="2" fillId="7" borderId="58" xfId="0" applyFont="1" applyFill="1" applyBorder="1" applyAlignment="1">
      <alignment horizontal="center"/>
    </xf>
    <xf numFmtId="0" fontId="1" fillId="7" borderId="64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14" fillId="7" borderId="25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11" fillId="7" borderId="66" xfId="0" applyFont="1" applyFill="1" applyBorder="1" applyAlignment="1">
      <alignment horizontal="center" vertical="center"/>
    </xf>
    <xf numFmtId="0" fontId="11" fillId="7" borderId="62" xfId="0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center"/>
    </xf>
    <xf numFmtId="0" fontId="1" fillId="7" borderId="62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7" borderId="26" xfId="0" applyFont="1" applyFill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4" fillId="7" borderId="45" xfId="0" applyFont="1" applyFill="1" applyBorder="1" applyAlignment="1">
      <alignment horizontal="center"/>
    </xf>
    <xf numFmtId="0" fontId="14" fillId="7" borderId="39" xfId="0" applyFont="1" applyFill="1" applyBorder="1" applyAlignment="1">
      <alignment horizontal="center"/>
    </xf>
    <xf numFmtId="0" fontId="14" fillId="7" borderId="44" xfId="0" applyFont="1" applyFill="1" applyBorder="1" applyAlignment="1">
      <alignment horizontal="center"/>
    </xf>
    <xf numFmtId="0" fontId="18" fillId="7" borderId="43" xfId="0" applyFont="1" applyFill="1" applyBorder="1" applyAlignment="1">
      <alignment horizontal="center"/>
    </xf>
    <xf numFmtId="0" fontId="14" fillId="7" borderId="58" xfId="0" applyFont="1" applyFill="1" applyBorder="1" applyAlignment="1">
      <alignment horizontal="center"/>
    </xf>
    <xf numFmtId="0" fontId="11" fillId="0" borderId="27" xfId="0" applyFont="1" applyBorder="1" applyAlignment="1">
      <alignment horizontal="center" vertical="center" textRotation="90"/>
    </xf>
    <xf numFmtId="0" fontId="11" fillId="7" borderId="97" xfId="0" applyFont="1" applyFill="1" applyBorder="1" applyAlignment="1">
      <alignment horizontal="center" vertical="center"/>
    </xf>
    <xf numFmtId="0" fontId="7" fillId="0" borderId="90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3" borderId="89" xfId="0" applyFont="1" applyFill="1" applyBorder="1" applyAlignment="1">
      <alignment horizontal="center"/>
    </xf>
    <xf numFmtId="0" fontId="11" fillId="3" borderId="87" xfId="0" applyFont="1" applyFill="1" applyBorder="1" applyAlignment="1">
      <alignment horizontal="center"/>
    </xf>
    <xf numFmtId="0" fontId="11" fillId="3" borderId="61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 vertical="center" textRotation="90"/>
    </xf>
    <xf numFmtId="0" fontId="9" fillId="5" borderId="67" xfId="0" applyFont="1" applyFill="1" applyBorder="1" applyAlignment="1">
      <alignment horizontal="center" vertical="center" textRotation="90"/>
    </xf>
    <xf numFmtId="0" fontId="9" fillId="5" borderId="88" xfId="0" applyFont="1" applyFill="1" applyBorder="1" applyAlignment="1">
      <alignment horizontal="center" vertical="center" textRotation="90"/>
    </xf>
    <xf numFmtId="0" fontId="9" fillId="5" borderId="85" xfId="0" applyFont="1" applyFill="1" applyBorder="1" applyAlignment="1">
      <alignment horizontal="center" vertical="center" textRotation="90"/>
    </xf>
    <xf numFmtId="0" fontId="11" fillId="3" borderId="86" xfId="0" applyFont="1" applyFill="1" applyBorder="1" applyAlignment="1">
      <alignment horizontal="center"/>
    </xf>
    <xf numFmtId="0" fontId="11" fillId="3" borderId="60" xfId="0" applyFont="1" applyFill="1" applyBorder="1" applyAlignment="1">
      <alignment horizontal="center"/>
    </xf>
    <xf numFmtId="0" fontId="12" fillId="0" borderId="0" xfId="2" applyNumberFormat="1" applyFont="1" applyAlignment="1" applyProtection="1">
      <alignment horizontal="left"/>
    </xf>
    <xf numFmtId="0" fontId="15" fillId="0" borderId="0" xfId="2" applyFont="1" applyAlignment="1" applyProtection="1">
      <alignment horizontal="left"/>
    </xf>
    <xf numFmtId="0" fontId="1" fillId="0" borderId="0" xfId="2" applyNumberFormat="1" applyFont="1" applyAlignment="1" applyProtection="1">
      <alignment horizontal="right"/>
    </xf>
    <xf numFmtId="0" fontId="8" fillId="0" borderId="0" xfId="2" applyAlignment="1" applyProtection="1">
      <alignment horizontal="left"/>
    </xf>
    <xf numFmtId="0" fontId="0" fillId="0" borderId="23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27" xfId="0" applyBorder="1" applyAlignment="1">
      <alignment horizontal="left"/>
    </xf>
    <xf numFmtId="0" fontId="1" fillId="0" borderId="21" xfId="0" applyFont="1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82" xfId="0" applyBorder="1" applyAlignment="1">
      <alignment horizontal="left"/>
    </xf>
    <xf numFmtId="0" fontId="0" fillId="0" borderId="83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34" xfId="0" applyBorder="1" applyAlignment="1">
      <alignment horizontal="left"/>
    </xf>
    <xf numFmtId="0" fontId="11" fillId="3" borderId="78" xfId="0" applyFont="1" applyFill="1" applyBorder="1" applyAlignment="1">
      <alignment horizontal="left"/>
    </xf>
    <xf numFmtId="0" fontId="11" fillId="3" borderId="79" xfId="0" applyFont="1" applyFill="1" applyBorder="1" applyAlignment="1">
      <alignment horizontal="left"/>
    </xf>
    <xf numFmtId="0" fontId="11" fillId="3" borderId="80" xfId="0" applyFont="1" applyFill="1" applyBorder="1" applyAlignment="1">
      <alignment horizontal="left"/>
    </xf>
    <xf numFmtId="168" fontId="17" fillId="0" borderId="13" xfId="3" applyNumberFormat="1" applyFont="1" applyBorder="1" applyAlignment="1">
      <alignment horizontal="center"/>
    </xf>
    <xf numFmtId="168" fontId="17" fillId="0" borderId="16" xfId="3" applyNumberFormat="1" applyFon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167" fontId="1" fillId="0" borderId="81" xfId="4" applyNumberFormat="1" applyBorder="1" applyAlignment="1">
      <alignment horizontal="center"/>
    </xf>
    <xf numFmtId="167" fontId="1" fillId="0" borderId="20" xfId="4" applyNumberFormat="1" applyBorder="1" applyAlignment="1">
      <alignment horizontal="center"/>
    </xf>
    <xf numFmtId="0" fontId="10" fillId="0" borderId="72" xfId="0" applyFont="1" applyBorder="1" applyAlignment="1">
      <alignment horizontal="center"/>
    </xf>
    <xf numFmtId="0" fontId="10" fillId="0" borderId="75" xfId="0" applyFont="1" applyBorder="1" applyAlignment="1">
      <alignment horizontal="center"/>
    </xf>
    <xf numFmtId="0" fontId="10" fillId="0" borderId="76" xfId="0" applyFont="1" applyBorder="1" applyAlignment="1">
      <alignment horizontal="center"/>
    </xf>
    <xf numFmtId="0" fontId="11" fillId="3" borderId="77" xfId="0" applyFont="1" applyFill="1" applyBorder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106" xfId="0" applyFont="1" applyFill="1" applyBorder="1" applyAlignment="1">
      <alignment horizontal="center"/>
    </xf>
    <xf numFmtId="0" fontId="11" fillId="3" borderId="107" xfId="0" applyFont="1" applyFill="1" applyBorder="1" applyAlignment="1">
      <alignment horizontal="center"/>
    </xf>
    <xf numFmtId="0" fontId="11" fillId="3" borderId="108" xfId="0" applyFont="1" applyFill="1" applyBorder="1" applyAlignment="1">
      <alignment horizontal="center"/>
    </xf>
    <xf numFmtId="0" fontId="0" fillId="0" borderId="90" xfId="0" applyBorder="1" applyAlignment="1">
      <alignment horizontal="left"/>
    </xf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18" xfId="0" applyBorder="1" applyAlignment="1">
      <alignment horizontal="left"/>
    </xf>
    <xf numFmtId="167" fontId="1" fillId="0" borderId="83" xfId="4" applyNumberFormat="1" applyBorder="1" applyAlignment="1">
      <alignment horizontal="center"/>
    </xf>
    <xf numFmtId="167" fontId="1" fillId="0" borderId="29" xfId="4" applyNumberFormat="1" applyBorder="1" applyAlignment="1">
      <alignment horizontal="center"/>
    </xf>
  </cellXfs>
  <cellStyles count="5">
    <cellStyle name="Comma" xfId="3" builtinId="3"/>
    <cellStyle name="Currency" xfId="4" builtinId="4"/>
    <cellStyle name="Euro" xfId="1" xr:uid="{00000000-0005-0000-0000-000000000000}"/>
    <cellStyle name="Hyperlink" xfId="2" builtinId="8"/>
    <cellStyle name="Normal" xfId="0" builtinId="0"/>
  </cellStyles>
  <dxfs count="11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00FFFF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8</xdr:col>
      <xdr:colOff>75601</xdr:colOff>
      <xdr:row>63</xdr:row>
      <xdr:rowOff>36827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FEE0A-0C0E-4CBD-99EE-13420654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57150"/>
          <a:ext cx="4790476" cy="10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ker4.github.io/pool/chalet.pdf" TargetMode="External"/><Relationship Id="rId1" Type="http://schemas.openxmlformats.org/officeDocument/2006/relationships/hyperlink" Target="https://staker4.github.io/pool/bracke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2"/>
  <sheetViews>
    <sheetView tabSelected="1" workbookViewId="0">
      <selection activeCell="D46" sqref="D46"/>
    </sheetView>
  </sheetViews>
  <sheetFormatPr defaultColWidth="11.42578125" defaultRowHeight="12.75" x14ac:dyDescent="0.2"/>
  <cols>
    <col min="1" max="1" width="5.140625" style="26" bestFit="1" customWidth="1"/>
    <col min="2" max="2" width="20.85546875" customWidth="1"/>
    <col min="3" max="4" width="3.28515625" customWidth="1"/>
    <col min="5" max="14" width="3.28515625" bestFit="1" customWidth="1"/>
    <col min="15" max="18" width="3.28515625" customWidth="1"/>
    <col min="19" max="19" width="5.7109375" customWidth="1"/>
    <col min="20" max="21" width="3.28515625" customWidth="1"/>
    <col min="22" max="27" width="3.28515625" bestFit="1" customWidth="1"/>
    <col min="28" max="28" width="5.7109375" customWidth="1"/>
    <col min="29" max="32" width="3.28515625" bestFit="1" customWidth="1"/>
    <col min="33" max="33" width="5.7109375" customWidth="1"/>
    <col min="34" max="34" width="3.28515625" customWidth="1"/>
    <col min="35" max="35" width="3.28515625" bestFit="1" customWidth="1"/>
    <col min="36" max="36" width="5.7109375" customWidth="1"/>
    <col min="37" max="37" width="7.85546875" bestFit="1" customWidth="1"/>
    <col min="38" max="38" width="7.85546875" customWidth="1"/>
  </cols>
  <sheetData>
    <row r="1" spans="1:38" x14ac:dyDescent="0.2"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</row>
    <row r="2" spans="1:38" x14ac:dyDescent="0.2">
      <c r="A2" s="34"/>
      <c r="C2" s="204" t="s">
        <v>45</v>
      </c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5" t="s">
        <v>68</v>
      </c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</row>
    <row r="3" spans="1:38" x14ac:dyDescent="0.2">
      <c r="A3" s="34"/>
      <c r="C3" s="204" t="s">
        <v>52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5" t="s">
        <v>53</v>
      </c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</row>
    <row r="4" spans="1:38" ht="6.95" customHeight="1" thickBot="1" x14ac:dyDescent="0.25"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spans="1:38" ht="13.5" thickBot="1" x14ac:dyDescent="0.25">
      <c r="C5" s="189" t="s">
        <v>0</v>
      </c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1"/>
      <c r="T5" s="189" t="s">
        <v>1</v>
      </c>
      <c r="U5" s="190"/>
      <c r="V5" s="190"/>
      <c r="W5" s="190"/>
      <c r="X5" s="190"/>
      <c r="Y5" s="190"/>
      <c r="Z5" s="190"/>
      <c r="AA5" s="190"/>
      <c r="AB5" s="191"/>
      <c r="AC5" s="189" t="s">
        <v>2</v>
      </c>
      <c r="AD5" s="190"/>
      <c r="AE5" s="190"/>
      <c r="AF5" s="190"/>
      <c r="AG5" s="192"/>
      <c r="AH5" s="189" t="s">
        <v>10</v>
      </c>
      <c r="AI5" s="190"/>
      <c r="AJ5" s="191"/>
    </row>
    <row r="6" spans="1:38" ht="12.75" customHeight="1" x14ac:dyDescent="0.2">
      <c r="C6" s="193" t="s">
        <v>9</v>
      </c>
      <c r="D6" s="194"/>
      <c r="E6" s="194"/>
      <c r="F6" s="194"/>
      <c r="G6" s="194"/>
      <c r="H6" s="194"/>
      <c r="I6" s="194"/>
      <c r="J6" s="195"/>
      <c r="K6" s="200" t="s">
        <v>8</v>
      </c>
      <c r="L6" s="194"/>
      <c r="M6" s="194"/>
      <c r="N6" s="194"/>
      <c r="O6" s="194"/>
      <c r="P6" s="194"/>
      <c r="Q6" s="194"/>
      <c r="R6" s="195"/>
      <c r="S6" s="196" t="s">
        <v>12</v>
      </c>
      <c r="T6" s="193" t="s">
        <v>9</v>
      </c>
      <c r="U6" s="194"/>
      <c r="V6" s="194"/>
      <c r="W6" s="195"/>
      <c r="X6" s="200" t="s">
        <v>8</v>
      </c>
      <c r="Y6" s="194"/>
      <c r="Z6" s="194"/>
      <c r="AA6" s="195"/>
      <c r="AB6" s="196" t="s">
        <v>13</v>
      </c>
      <c r="AC6" s="201" t="s">
        <v>9</v>
      </c>
      <c r="AD6" s="195"/>
      <c r="AE6" s="200" t="s">
        <v>8</v>
      </c>
      <c r="AF6" s="195"/>
      <c r="AG6" s="196" t="s">
        <v>14</v>
      </c>
      <c r="AH6" s="46"/>
      <c r="AI6" s="21"/>
      <c r="AJ6" s="196" t="s">
        <v>15</v>
      </c>
    </row>
    <row r="7" spans="1:38" s="31" customFormat="1" ht="12.75" customHeight="1" x14ac:dyDescent="0.2">
      <c r="A7" s="32"/>
      <c r="C7" s="115">
        <f>Résultats!$J$3</f>
        <v>2</v>
      </c>
      <c r="D7" s="76">
        <f>Résultats!$J$4</f>
        <v>1</v>
      </c>
      <c r="E7" s="118">
        <f>Résultats!$J$6</f>
        <v>1</v>
      </c>
      <c r="F7" s="77">
        <f>Résultats!$J$7</f>
        <v>1</v>
      </c>
      <c r="G7" s="118">
        <f>Résultats!$J$10</f>
        <v>2</v>
      </c>
      <c r="H7" s="77">
        <f>Résultats!$J$11</f>
        <v>1</v>
      </c>
      <c r="I7" s="118">
        <f>Résultats!$J$13</f>
        <v>0</v>
      </c>
      <c r="J7" s="76">
        <f>Résultats!$J$14</f>
        <v>2</v>
      </c>
      <c r="K7" s="78">
        <f>Résultats!$J$17</f>
        <v>1</v>
      </c>
      <c r="L7" s="76">
        <f>Résultats!$J$18</f>
        <v>1</v>
      </c>
      <c r="M7" s="118">
        <f>Résultats!$J$20</f>
        <v>1</v>
      </c>
      <c r="N7" s="77">
        <f>Résultats!$J$21</f>
        <v>2</v>
      </c>
      <c r="O7" s="118">
        <f>Résultats!$J$24</f>
        <v>1</v>
      </c>
      <c r="P7" s="77">
        <f>Résultats!$J$25</f>
        <v>1</v>
      </c>
      <c r="Q7" s="187">
        <f>Résultats!$J$27</f>
        <v>1</v>
      </c>
      <c r="R7" s="76">
        <f>Résultats!$J$28</f>
        <v>2</v>
      </c>
      <c r="S7" s="197"/>
      <c r="T7" s="115">
        <f>Résultats!$V$6</f>
        <v>0</v>
      </c>
      <c r="U7" s="76">
        <f>Résultats!$V$7</f>
        <v>0</v>
      </c>
      <c r="V7" s="118">
        <f>Résultats!$V$10</f>
        <v>0</v>
      </c>
      <c r="W7" s="76">
        <f>Résultats!$V$11</f>
        <v>0</v>
      </c>
      <c r="X7" s="78">
        <f>Résultats!$V$20</f>
        <v>0</v>
      </c>
      <c r="Y7" s="77">
        <f>Résultats!$V$21</f>
        <v>0</v>
      </c>
      <c r="Z7" s="187">
        <f>Résultats!$V$24</f>
        <v>0</v>
      </c>
      <c r="AA7" s="76">
        <f>Résultats!$V$25</f>
        <v>0</v>
      </c>
      <c r="AB7" s="197"/>
      <c r="AC7" s="187">
        <f>Résultats!$AH$8</f>
        <v>0</v>
      </c>
      <c r="AD7" s="76">
        <f>Résultats!$AH$9</f>
        <v>0</v>
      </c>
      <c r="AE7" s="78">
        <f>Résultats!$AH$22</f>
        <v>0</v>
      </c>
      <c r="AF7" s="76">
        <f>Résultats!$AH$23</f>
        <v>0</v>
      </c>
      <c r="AG7" s="197"/>
      <c r="AH7" s="132">
        <f>Résultats!$AH$15</f>
        <v>0</v>
      </c>
      <c r="AI7" s="79">
        <f>Résultats!$AH$16</f>
        <v>0</v>
      </c>
      <c r="AJ7" s="197"/>
    </row>
    <row r="8" spans="1:38" s="31" customFormat="1" ht="58.5" hidden="1" customHeight="1" x14ac:dyDescent="0.2">
      <c r="A8" s="32"/>
      <c r="C8" s="116">
        <f>IF(ISBLANK($C11),0,($C$7*PT_VICTOIRE_R1)+IF($C$7=4,PT_PREDICTION_EQUIPE_R1+IF($C11=$C$7+$D$7,PT_PREDICTION_NB_PARTIES_R1,0),0))
+IF(ISBLANK($D11),0,($D$7*PT_VICTOIRE_R1)+IF($D$7=4,PT_PREDICTION_EQUIPE_R1+IF($D11=$C$7+$D$7,PT_PREDICTION_NB_PARTIES_R1,0),0))</f>
        <v>0</v>
      </c>
      <c r="D8" s="83"/>
      <c r="E8" s="119"/>
      <c r="F8" s="84"/>
      <c r="G8" s="85"/>
      <c r="H8" s="83"/>
      <c r="I8" s="119"/>
      <c r="J8" s="83"/>
      <c r="K8" s="86"/>
      <c r="L8" s="83"/>
      <c r="M8" s="119"/>
      <c r="N8" s="84"/>
      <c r="O8" s="119"/>
      <c r="P8" s="84"/>
      <c r="Q8" s="85"/>
      <c r="R8" s="83"/>
      <c r="S8" s="197"/>
      <c r="T8" s="116"/>
      <c r="U8" s="83"/>
      <c r="V8" s="119"/>
      <c r="W8" s="83"/>
      <c r="X8" s="86"/>
      <c r="Y8" s="84"/>
      <c r="Z8" s="85"/>
      <c r="AA8" s="83"/>
      <c r="AB8" s="197"/>
      <c r="AC8" s="85"/>
      <c r="AD8" s="83"/>
      <c r="AE8" s="86"/>
      <c r="AF8" s="83"/>
      <c r="AG8" s="197"/>
      <c r="AH8" s="132"/>
      <c r="AI8" s="79"/>
      <c r="AJ8" s="197"/>
    </row>
    <row r="9" spans="1:38" s="31" customFormat="1" ht="77.25" customHeight="1" thickBot="1" x14ac:dyDescent="0.25">
      <c r="A9" s="32"/>
      <c r="C9" s="117" t="str">
        <f>Résultats!$B$3</f>
        <v>BOSTON</v>
      </c>
      <c r="D9" s="120" t="str">
        <f>Résultats!$B$4</f>
        <v>FLORIDA</v>
      </c>
      <c r="E9" s="121" t="str">
        <f>Résultats!$B$6</f>
        <v>TORONTO</v>
      </c>
      <c r="F9" s="122" t="str">
        <f>Résultats!$B$7</f>
        <v>TAMPA BAY</v>
      </c>
      <c r="G9" s="123" t="str">
        <f>Résultats!$B$10</f>
        <v>CAROLINA</v>
      </c>
      <c r="H9" s="120" t="str">
        <f>Résultats!$B$11</f>
        <v>NY ISLANDERS</v>
      </c>
      <c r="I9" s="121" t="str">
        <f>Résultats!$B$13</f>
        <v>NEW JERSEY</v>
      </c>
      <c r="J9" s="120" t="str">
        <f>Résultats!$B$14</f>
        <v>NY RANGERS</v>
      </c>
      <c r="K9" s="124" t="str">
        <f>Résultats!$B$17</f>
        <v>COLORADO</v>
      </c>
      <c r="L9" s="120" t="str">
        <f>Résultats!$B$18</f>
        <v>SEATTLE</v>
      </c>
      <c r="M9" s="121" t="str">
        <f>Résultats!$B$20</f>
        <v>DALLAS</v>
      </c>
      <c r="N9" s="122" t="str">
        <f>Résultats!$B$21</f>
        <v>MINNESOTA</v>
      </c>
      <c r="O9" s="121" t="str">
        <f>Résultats!$B$24</f>
        <v>VEGAS</v>
      </c>
      <c r="P9" s="122" t="str">
        <f>Résultats!$B$25</f>
        <v>WINNIPEG</v>
      </c>
      <c r="Q9" s="123" t="str">
        <f>Résultats!$B$27</f>
        <v>EDMONTON</v>
      </c>
      <c r="R9" s="120" t="str">
        <f>Résultats!$B$28</f>
        <v>LOS ANGELES</v>
      </c>
      <c r="S9" s="197"/>
      <c r="T9" s="117">
        <f>Résultats!$N$6</f>
        <v>0</v>
      </c>
      <c r="U9" s="120">
        <f>Résultats!$N$7</f>
        <v>0</v>
      </c>
      <c r="V9" s="121">
        <f>Résultats!$N$10</f>
        <v>0</v>
      </c>
      <c r="W9" s="120">
        <f>Résultats!$N$11</f>
        <v>0</v>
      </c>
      <c r="X9" s="124">
        <f>Résultats!$N$20</f>
        <v>0</v>
      </c>
      <c r="Y9" s="122">
        <f>Résultats!$N$21</f>
        <v>0</v>
      </c>
      <c r="Z9" s="123">
        <f>Résultats!$N$24</f>
        <v>0</v>
      </c>
      <c r="AA9" s="120">
        <f>Résultats!$N$25</f>
        <v>0</v>
      </c>
      <c r="AB9" s="197"/>
      <c r="AC9" s="123">
        <f>Résultats!$Z$8</f>
        <v>0</v>
      </c>
      <c r="AD9" s="120">
        <f>Résultats!$Z$9</f>
        <v>0</v>
      </c>
      <c r="AE9" s="124">
        <f>Résultats!$Z$22</f>
        <v>0</v>
      </c>
      <c r="AF9" s="120">
        <f>Résultats!$Z$23</f>
        <v>0</v>
      </c>
      <c r="AG9" s="197"/>
      <c r="AH9" s="133">
        <f>Résultats!$Z$15</f>
        <v>0</v>
      </c>
      <c r="AI9" s="134">
        <f>Résultats!$Z$16</f>
        <v>0</v>
      </c>
      <c r="AJ9" s="197"/>
    </row>
    <row r="10" spans="1:38" s="31" customFormat="1" ht="22.5" customHeight="1" thickBot="1" x14ac:dyDescent="0.25">
      <c r="A10" s="35" t="s">
        <v>7</v>
      </c>
      <c r="B10" s="33" t="s">
        <v>11</v>
      </c>
      <c r="C10" s="125" t="str">
        <f>Résultats!$A$3</f>
        <v>A1</v>
      </c>
      <c r="D10" s="126" t="str">
        <f>Résultats!$A$4</f>
        <v>WC2</v>
      </c>
      <c r="E10" s="127" t="str">
        <f>Résultats!$A$6</f>
        <v>A2</v>
      </c>
      <c r="F10" s="128" t="str">
        <f>Résultats!$A$7</f>
        <v>A3</v>
      </c>
      <c r="G10" s="129" t="str">
        <f>Résultats!$A$10</f>
        <v>M1</v>
      </c>
      <c r="H10" s="126" t="str">
        <f>Résultats!$A$11</f>
        <v>WC1</v>
      </c>
      <c r="I10" s="127" t="str">
        <f>Résultats!$A$13</f>
        <v>M2</v>
      </c>
      <c r="J10" s="126" t="str">
        <f>Résultats!$A$14</f>
        <v>M3</v>
      </c>
      <c r="K10" s="130" t="str">
        <f>Résultats!$A$17</f>
        <v>C1</v>
      </c>
      <c r="L10" s="126" t="str">
        <f>Résultats!$A$18</f>
        <v>WC2</v>
      </c>
      <c r="M10" s="127" t="str">
        <f>Résultats!$A$20</f>
        <v>C2</v>
      </c>
      <c r="N10" s="128" t="str">
        <f>Résultats!$A$21</f>
        <v>C3</v>
      </c>
      <c r="O10" s="127" t="str">
        <f>Résultats!$A$24</f>
        <v>P1</v>
      </c>
      <c r="P10" s="128" t="str">
        <f>Résultats!$A$25</f>
        <v>WC1</v>
      </c>
      <c r="Q10" s="129" t="str">
        <f>Résultats!$A$27</f>
        <v>P2</v>
      </c>
      <c r="R10" s="131" t="str">
        <f>Résultats!$A$28</f>
        <v>P3</v>
      </c>
      <c r="S10" s="199"/>
      <c r="T10" s="125" t="str">
        <f>Résultats!$M$6</f>
        <v>A2</v>
      </c>
      <c r="U10" s="126" t="str">
        <f>Résultats!$M$7</f>
        <v>WC2</v>
      </c>
      <c r="V10" s="127" t="str">
        <f>Résultats!$M$10</f>
        <v>M2</v>
      </c>
      <c r="W10" s="126" t="str">
        <f>Résultats!$M$11</f>
        <v>WC1</v>
      </c>
      <c r="X10" s="130" t="str">
        <f>Résultats!$M$20</f>
        <v>P2</v>
      </c>
      <c r="Y10" s="128" t="str">
        <f>Résultats!$M$21</f>
        <v>WC2</v>
      </c>
      <c r="Z10" s="129" t="str">
        <f>Résultats!$M$24</f>
        <v>C3</v>
      </c>
      <c r="AA10" s="131" t="str">
        <f>Résultats!$M$25</f>
        <v>WC1</v>
      </c>
      <c r="AB10" s="198"/>
      <c r="AC10" s="129" t="str">
        <f>Résultats!$Y$8</f>
        <v>A2</v>
      </c>
      <c r="AD10" s="126" t="str">
        <f>Résultats!$Y$9</f>
        <v>WC1</v>
      </c>
      <c r="AE10" s="130" t="str">
        <f>Résultats!$Y$22</f>
        <v>P2</v>
      </c>
      <c r="AF10" s="126" t="str">
        <f>Résultats!$Y$23</f>
        <v>C3</v>
      </c>
      <c r="AG10" s="198"/>
      <c r="AH10" s="135" t="str">
        <f>Résultats!$Y$15</f>
        <v>A2</v>
      </c>
      <c r="AI10" s="136" t="str">
        <f>Résultats!$Y$16</f>
        <v>C3</v>
      </c>
      <c r="AJ10" s="199"/>
      <c r="AK10" s="81" t="s">
        <v>46</v>
      </c>
      <c r="AL10" s="80" t="s">
        <v>3</v>
      </c>
    </row>
    <row r="11" spans="1:38" ht="12.75" customHeight="1" thickTop="1" x14ac:dyDescent="0.2">
      <c r="A11" s="148">
        <f>RANK(AL11,$AL$11:$AL$33,)</f>
        <v>1</v>
      </c>
      <c r="B11" s="149" t="s">
        <v>63</v>
      </c>
      <c r="C11" s="150"/>
      <c r="D11" s="151">
        <v>7</v>
      </c>
      <c r="E11" s="182">
        <v>6</v>
      </c>
      <c r="F11" s="151"/>
      <c r="G11" s="153">
        <v>5</v>
      </c>
      <c r="H11" s="154"/>
      <c r="I11" s="152"/>
      <c r="J11" s="154">
        <v>7</v>
      </c>
      <c r="K11" s="155">
        <v>6</v>
      </c>
      <c r="L11" s="154"/>
      <c r="M11" s="152">
        <v>7</v>
      </c>
      <c r="N11" s="183"/>
      <c r="O11" s="152">
        <v>5</v>
      </c>
      <c r="P11" s="151"/>
      <c r="Q11" s="153">
        <v>6</v>
      </c>
      <c r="R11" s="156"/>
      <c r="S11" s="157">
        <f>SUM(C12:R12)</f>
        <v>0</v>
      </c>
      <c r="T11" s="184"/>
      <c r="U11" s="154"/>
      <c r="V11" s="152"/>
      <c r="W11" s="154"/>
      <c r="X11" s="155"/>
      <c r="Y11" s="151"/>
      <c r="Z11" s="153"/>
      <c r="AA11" s="156"/>
      <c r="AB11" s="157">
        <f>SUM(T12:AA12)</f>
        <v>0</v>
      </c>
      <c r="AC11" s="153"/>
      <c r="AD11" s="154"/>
      <c r="AE11" s="155"/>
      <c r="AF11" s="154"/>
      <c r="AG11" s="157">
        <f>SUM(AC12:AF12)</f>
        <v>0</v>
      </c>
      <c r="AH11" s="185"/>
      <c r="AI11" s="186"/>
      <c r="AJ11" s="157">
        <f>AH12</f>
        <v>0</v>
      </c>
      <c r="AK11" s="160">
        <f>MAX($AL$11:$AL$33) - AL11</f>
        <v>0</v>
      </c>
      <c r="AL11" s="157">
        <f>$S11+$AB11+$AG11+$AJ11</f>
        <v>0</v>
      </c>
    </row>
    <row r="12" spans="1:38" s="23" customFormat="1" hidden="1" x14ac:dyDescent="0.2">
      <c r="A12" s="87">
        <f>RANK(AL12,$AL$11:$AL$33,)</f>
        <v>1</v>
      </c>
      <c r="B12" s="73"/>
      <c r="C12" s="95">
        <f>(IF($C11&lt;&gt;"",($C$7*$O$40)+IF($C$7=4,($O$38)+IF($C11=$C$7+$D$7,$O$39,0),0),0)+IF($D11&lt;&gt;"",($D$7*$O$40)+IF($D$7=4,($O$38)+IF($D11=$C$7+$D$7,$O$39,0),0),0))</f>
        <v>0</v>
      </c>
      <c r="D12" s="96"/>
      <c r="E12" s="94">
        <f>(IF($E11&lt;&gt;"",($E$7*$O$40)+IF($E$7=4,($O$38)+IF($E11=$E$7+$F$7,$O$39,0),0),0)+IF($F11&lt;&gt;"",($F$7*$O$40)+IF($F$7=4,($O$38)+IF($F11=$E$7+$F$7,$O$39,0),0),0))</f>
        <v>0</v>
      </c>
      <c r="F12" s="96"/>
      <c r="G12" s="94">
        <f>(IF($G11&lt;&gt;"",($G$7*$O$40)+IF($G$7=4,($O$38)+IF($G11=$G$7+$H$7,$O$39,0),0),0)+IF($H11&lt;&gt;"",($H$7*$O$40)+IF($H$7=4,($O$38)+IF($H11=$G$7+$H$7,$O$39,0),0),0))</f>
        <v>0</v>
      </c>
      <c r="H12" s="96"/>
      <c r="I12" s="97">
        <f>(IF($I11&lt;&gt;"",($I$7*$O$40)+IF($I$7=4,($O$38)+IF($I11=$I$7+$J$7,$O$39,0),0),0)+IF($J11&lt;&gt;"",($J$7*$O$40)+IF($J$7=4,($O$38)+IF($J11=$I$7+$J$7,$O$39,0),0),0))</f>
        <v>0</v>
      </c>
      <c r="J12" s="98"/>
      <c r="K12" s="99">
        <f>(IF($K11&lt;&gt;"",($K$7*$O$40)+IF($K$7=4,($O$38)+IF($K11=$K$7+$L$7,$O$39,0),0),0)+IF($L11&lt;&gt;"",($L$7*$O$40)+IF($L$7=4,($O$38)+IF($L11=$K$7+$L$7,$O$39,0),0),0))</f>
        <v>0</v>
      </c>
      <c r="L12" s="96"/>
      <c r="M12" s="94">
        <f>(IF($M11&lt;&gt;"",($M$7*$O$40)+IF($M$7=4,($O$38)+IF($M11=$M$7+$N$7,$O$39,0),0),0)+IF($N11&lt;&gt;"",($N$7*$O$40)+IF($N$7=4,($O$38)+IF($N11=$M$7+$N$7,$O$39,0),0),0))</f>
        <v>0</v>
      </c>
      <c r="N12" s="96"/>
      <c r="O12" s="97">
        <f>(IF($O11&lt;&gt;"",($O$7*$O$40)+IF($O$7=4,($O$38)+IF($O11=$O$7+$P$7,$O$39,0),0),0)+IF($P11&lt;&gt;"",($P$7*$O$40)+IF($P$7=4,($O$38)+IF($P11=$O$7+$P$7,$O$39,0),0),0))</f>
        <v>0</v>
      </c>
      <c r="P12" s="96"/>
      <c r="Q12" s="94">
        <f>(IF($Q11&lt;&gt;"",($Q$7*$O$40)+IF($Q$7=4,($O$38)+IF($Q11=$Q$7+$R$7,$O$39,0),0),0)+IF($R11&lt;&gt;"",($R$7*$O$40)+IF($R$7=4,($O$38)+IF($R11=$Q$7+$R$7,$O$39,0),0),0))</f>
        <v>0</v>
      </c>
      <c r="R12" s="100"/>
      <c r="S12" s="90"/>
      <c r="T12" s="95">
        <f>(IF($T11&lt;&gt;"",($T$7*$P$40)+IF($T$7=4,($P$38)+IF($T11=$T$7+$U$7,$P$39,0),0),0)+IF($U11&lt;&gt;"",($U$7*$P$40)+IF($U$7=4,($P$38)+IF($U11=$T$7+$U$7,$P$39,0),0),0))</f>
        <v>0</v>
      </c>
      <c r="U12" s="95"/>
      <c r="V12" s="95">
        <f>(IF($V11&lt;&gt;"",($V$7*$P$40)+IF($V$7=4,($P$38)+IF($V11=$V$7+$W$7,$P$39,0),0),0)+IF($W11&lt;&gt;"",($W$7*$P$40)+IF($W$7=4,($P$38)+IF($W11=$V$7+$W$7,$P$39,0),0),0))</f>
        <v>0</v>
      </c>
      <c r="W12" s="95"/>
      <c r="X12" s="95">
        <f>(IF($X11&lt;&gt;"",($X$7*$P$40)+IF($X$7=4,($P$38)+IF($X11=$X$7+$Y$7,$P$39,0),0),0)+IF($Y11&lt;&gt;"",($Y$7*$P$40)+IF($Y$7=4,($P$38)+IF($Y11=$X$7+$Y$7,$P$39,0),0),0))</f>
        <v>0</v>
      </c>
      <c r="Y12" s="49"/>
      <c r="Z12" s="95">
        <f>(IF($Z11&lt;&gt;"",($Z$7*$P$40)+IF($Z$7=4,($P$38)+IF($Z11=$Z$7+$AA$7,$P$39,0),0),0)+IF($AA11&lt;&gt;"",($AA$7*$P$40)+IF($AA$7=4,($P$38)+IF($AA11=$Z$7+$AA$7,$P$39,0),0),0))</f>
        <v>0</v>
      </c>
      <c r="AA12" s="50"/>
      <c r="AB12" s="90"/>
      <c r="AC12" s="95">
        <f>(IF($AC11&lt;&gt;"",($AC$7*$Q$40)+IF($AC$7=4,($Q$38)+IF($AC11=$AC$7+$AD$7,$Q$39,0),0),0)+IF($AD11&lt;&gt;"",($AD$7*$Q$40)+IF($AD$7=4,($Q$38)+IF($AD11=$AC$7+$AD$7,$Q$39,0),0),0))</f>
        <v>0</v>
      </c>
      <c r="AD12" s="95"/>
      <c r="AE12" s="95">
        <f>(IF($AE11&lt;&gt;"",($AE$7*$Q$40)+IF($AE$7=4,($Q$38)+IF($AE11=$AE$7+$AF$7,$Q$39,0),0),0)+IF($AF11&lt;&gt;"",($AF$7*$Q$40)+IF($AF$7=4,($Q$38)+IF($AF11=$AE$7+$AF$7,$Q$39,0),0),0))</f>
        <v>0</v>
      </c>
      <c r="AF12" s="66"/>
      <c r="AG12" s="90"/>
      <c r="AH12" s="95">
        <f>(IF($AH11&lt;&gt;"",($AH$7*$Q$40)+IF($AH$7=4,($R$38)+IF($AH11=$AH$7+$AI$7,$R$39,0),0),0)+IF($AI11&lt;&gt;"",($AI$7*$R$40)+IF($AI$7=4,($R$38)+IF($AI11=$AH$7+$AI$7,$R$39,0),0),0))</f>
        <v>0</v>
      </c>
      <c r="AI12" s="101"/>
      <c r="AJ12" s="90"/>
      <c r="AL12" s="90"/>
    </row>
    <row r="13" spans="1:38" s="23" customFormat="1" hidden="1" x14ac:dyDescent="0.2">
      <c r="A13" s="74"/>
      <c r="B13" s="93"/>
      <c r="C13" s="88">
        <f>IF(ISBLANK(C11),
0,
IF(C$7= 4, 1, 0))</f>
        <v>0</v>
      </c>
      <c r="D13" s="88">
        <f>IF(ISBLANK(D11),
0,
IF(D$7 = 4, 1, 0))</f>
        <v>0</v>
      </c>
      <c r="E13" s="88">
        <f>IF(ISBLANK(E11),
0,
IF(E$7= 4, 1, 0))</f>
        <v>0</v>
      </c>
      <c r="F13" s="88">
        <f>IF(ISBLANK(F11),
0,
IF(F$7 = 4, 1, 0))</f>
        <v>0</v>
      </c>
      <c r="G13" s="88">
        <f>IF(ISBLANK(G11),
0,
IF(G$7= 4, 1, 0))</f>
        <v>0</v>
      </c>
      <c r="H13" s="88">
        <f>IF(ISBLANK(H11),
0,
IF(H$7 = 4, 1, 0))</f>
        <v>0</v>
      </c>
      <c r="I13" s="88">
        <f>IF(ISBLANK(I11),
0,
IF(I$7= 4, 1, 0))</f>
        <v>0</v>
      </c>
      <c r="J13" s="88">
        <f>IF(ISBLANK(J11),
0,
IF(J$7 = 4, 1, 0))</f>
        <v>0</v>
      </c>
      <c r="K13" s="88">
        <f>IF(ISBLANK(K11),
0,
IF(K$7= 4, 1, 0))</f>
        <v>0</v>
      </c>
      <c r="L13" s="88">
        <f>IF(ISBLANK(L11),
0,
IF(L$7 = 4, 1, 0))</f>
        <v>0</v>
      </c>
      <c r="M13" s="88">
        <f>IF(ISBLANK(M11),
0,
IF(M$7= 4, 1, 0))</f>
        <v>0</v>
      </c>
      <c r="N13" s="88">
        <f>IF(ISBLANK(N11),
0,
IF(N$7 = 4, 1, 0))</f>
        <v>0</v>
      </c>
      <c r="O13" s="88">
        <f>IF(ISBLANK(O11),
0,
IF(O$7= 4, 1, 0))</f>
        <v>0</v>
      </c>
      <c r="P13" s="88">
        <f>IF(ISBLANK(P11),
0,
IF(P$7 = 4, 1, 0))</f>
        <v>0</v>
      </c>
      <c r="Q13" s="102">
        <f>IF(ISBLANK(Q11),
0,
IF(Q$7= 4, 1, 0))</f>
        <v>0</v>
      </c>
      <c r="R13" s="88">
        <f>IF(ISBLANK(R11),
0,
IF(R$7 = 4, 1, 0))</f>
        <v>0</v>
      </c>
      <c r="S13" s="103"/>
      <c r="T13" s="88">
        <f>IF(ISBLANK(T11),
0,
IF(T$7= 4, 1, 0))</f>
        <v>0</v>
      </c>
      <c r="U13" s="88">
        <f>IF(ISBLANK(U11),
0,
IF(U$7 = 4, 1, 0))</f>
        <v>0</v>
      </c>
      <c r="V13" s="88">
        <f>IF(ISBLANK(V11),
0,
IF(V$7= 4, 1, 0))</f>
        <v>0</v>
      </c>
      <c r="W13" s="88">
        <f>IF(ISBLANK(W11),
0,
IF(W$7 = 4, 1, 0))</f>
        <v>0</v>
      </c>
      <c r="X13" s="88">
        <f>IF(ISBLANK(X11),
0,
IF(X$7= 4, 1, 0))</f>
        <v>0</v>
      </c>
      <c r="Y13" s="88">
        <f>IF(ISBLANK(Y11),
0,
IF(Y$7 = 4, 1, 0))</f>
        <v>0</v>
      </c>
      <c r="Z13" s="88">
        <f>IF(ISBLANK(Z11),
0,
IF(Z$7= 4, 1, 0))</f>
        <v>0</v>
      </c>
      <c r="AA13" s="88">
        <f>IF(ISBLANK(AA11),
0,
IF(AA$7 = 4, 1, 0))</f>
        <v>0</v>
      </c>
      <c r="AB13" s="103"/>
      <c r="AC13" s="88">
        <f>IF(ISBLANK(AC11),
0,
IF(AC$7= 4, 1, 0))</f>
        <v>0</v>
      </c>
      <c r="AD13" s="88">
        <f>IF(ISBLANK(AD11),
0,
IF(AD$7 = 4, 1, 0))</f>
        <v>0</v>
      </c>
      <c r="AE13" s="88">
        <f>IF(ISBLANK(AE11),
0,
IF(AE$7= 4, 1, 0))</f>
        <v>0</v>
      </c>
      <c r="AF13" s="88">
        <f>IF(ISBLANK(AF11),
0,
IF(AF$7 = 4, 1, 0))</f>
        <v>0</v>
      </c>
      <c r="AG13" s="103"/>
      <c r="AH13" s="88">
        <f>IF(ISBLANK(AH11),
0,
IF(AH$7= 4, 1, 0))</f>
        <v>0</v>
      </c>
      <c r="AI13" s="88">
        <f>IF(ISBLANK(AI11),
0,
IF(AI$7 = 4, 1, 0))</f>
        <v>0</v>
      </c>
      <c r="AJ13" s="103"/>
      <c r="AK13" s="104">
        <f>SUM(C13:AI13)</f>
        <v>0</v>
      </c>
      <c r="AL13" s="92"/>
    </row>
    <row r="14" spans="1:38" s="23" customFormat="1" hidden="1" x14ac:dyDescent="0.2">
      <c r="A14" s="74"/>
      <c r="B14" s="93"/>
      <c r="C14" s="88">
        <f>IF(C13 = 0,
0,
IF(C11 = (C$7+D$7),1,0))</f>
        <v>0</v>
      </c>
      <c r="D14" s="88">
        <f>IF(D13 = 0,
0,
IF(D11 = (C$7+D$7),1,0))</f>
        <v>0</v>
      </c>
      <c r="E14" s="88">
        <f>IF(E13 = 0,
0,
IF(E11 = (E$7+F$7),1,0))</f>
        <v>0</v>
      </c>
      <c r="F14" s="88">
        <f>IF(F13 = 0,
0,
IF(F11 = (E$7+F$7),1,0))</f>
        <v>0</v>
      </c>
      <c r="G14" s="88">
        <f>IF(G13 = 0,
0,
IF(G11 = (G$7+H$7),1,0))</f>
        <v>0</v>
      </c>
      <c r="H14" s="88">
        <f>IF(H13 = 0,
0,
IF(H11 = (G$7+H$7),1,0))</f>
        <v>0</v>
      </c>
      <c r="I14" s="88">
        <f>IF(I13 = 0,
0,
IF(I11 = (I$7+J$7),1,0))</f>
        <v>0</v>
      </c>
      <c r="J14" s="88">
        <f>IF(J13 = 0,
0,
IF(J11 = (I$7+J$7),1,0))</f>
        <v>0</v>
      </c>
      <c r="K14" s="88">
        <f>IF(K13 = 0,
0,
IF(K11 = (K$7+L$7),1,0))</f>
        <v>0</v>
      </c>
      <c r="L14" s="88">
        <f>IF(L13 = 0,
0,
IF(L11 = (K$7+L$7),1,0))</f>
        <v>0</v>
      </c>
      <c r="M14" s="88">
        <f>IF(M13 = 0,
0,
IF(M11 = (M$7+N$7),1,0))</f>
        <v>0</v>
      </c>
      <c r="N14" s="88">
        <f>IF(N13 = 0,
0,
IF(N11 = (M$7+N$7),1,0))</f>
        <v>0</v>
      </c>
      <c r="O14" s="88">
        <f>IF(O13 = 0,
0,
IF(O11 = (O$7+P$7),1,0))</f>
        <v>0</v>
      </c>
      <c r="P14" s="88">
        <f>IF(P13 = 0,
0,
IF(P11 = (O$7+P$7),1,0))</f>
        <v>0</v>
      </c>
      <c r="Q14" s="102">
        <f>IF(Q13 = 0,
0,
IF(Q11 = (Q$7+R$7),1,0))</f>
        <v>0</v>
      </c>
      <c r="R14" s="88">
        <f>IF(R13 = 0,
0,
IF(R11 = (Q$7+R$7),1,0))</f>
        <v>0</v>
      </c>
      <c r="S14" s="103"/>
      <c r="T14" s="88">
        <f>IF(T13 = 0,
0,
IF(T11 = (T$7+U$7),1,0))</f>
        <v>0</v>
      </c>
      <c r="U14" s="88">
        <f>IF(U13 = 0,
0,
IF(U11 = (T$7+U$7),1,0))</f>
        <v>0</v>
      </c>
      <c r="V14" s="88">
        <f>IF(V13 = 0,
0,
IF(V11 = (V$7+W$7),1,0))</f>
        <v>0</v>
      </c>
      <c r="W14" s="88">
        <f>IF(W13 = 0,
0,
IF(W11 = (V$7+W$7),1,0))</f>
        <v>0</v>
      </c>
      <c r="X14" s="88">
        <f>IF(X13 = 0,
0,
IF(X11 = (X$7+Y$7),1,0))</f>
        <v>0</v>
      </c>
      <c r="Y14" s="88">
        <f>IF(Y13 = 0,
0,
IF(Y11 = (X$7+Y$7),1,0))</f>
        <v>0</v>
      </c>
      <c r="Z14" s="88">
        <f>IF(Z13 = 0,
0,
IF(Z11 = (Z$7+AA$7),1,0))</f>
        <v>0</v>
      </c>
      <c r="AA14" s="88">
        <f>IF(AA13 = 0,
0,
IF(AA11 = (Z$7+AA$7),1,0))</f>
        <v>0</v>
      </c>
      <c r="AB14" s="103"/>
      <c r="AC14" s="88">
        <f>IF(AC13 = 0,
0,
IF(AC11 = (AC$7+AD$7),1,0))</f>
        <v>0</v>
      </c>
      <c r="AD14" s="88">
        <f>IF(AD13 = 0,
0,
IF(AD11 = (AC$7+AD$7),1,0))</f>
        <v>0</v>
      </c>
      <c r="AE14" s="88">
        <f>IF(AE13 = 0,
0,
IF(AE11 = (AE$7+AF$7),1,0))</f>
        <v>0</v>
      </c>
      <c r="AF14" s="88">
        <f>IF(AF13 = 0,
0,
IF(AF11 = (AE$7+AF$7),1,0))</f>
        <v>0</v>
      </c>
      <c r="AG14" s="103"/>
      <c r="AH14" s="88">
        <f>IF(AH13 = 0,
0,
IF(AH11 = (AH$7+AI$7),1,0))</f>
        <v>0</v>
      </c>
      <c r="AI14" s="88">
        <f>IF(AI13 = 0,
0,
IF(AI11 = (AH$7+AI$7),1,0))</f>
        <v>0</v>
      </c>
      <c r="AJ14" s="103"/>
      <c r="AK14" s="104">
        <f>SUM(C14:AI14)</f>
        <v>0</v>
      </c>
      <c r="AL14" s="92"/>
    </row>
    <row r="15" spans="1:38" ht="12.75" customHeight="1" x14ac:dyDescent="0.2">
      <c r="A15" s="87">
        <f>RANK(AL15,$AL$11:$AL$33,)</f>
        <v>1</v>
      </c>
      <c r="B15" s="65" t="s">
        <v>64</v>
      </c>
      <c r="C15" s="39">
        <v>6</v>
      </c>
      <c r="D15" s="38"/>
      <c r="E15" s="37">
        <v>6</v>
      </c>
      <c r="F15" s="38"/>
      <c r="G15" s="41">
        <v>5</v>
      </c>
      <c r="H15" s="40"/>
      <c r="I15" s="37"/>
      <c r="J15" s="40">
        <v>7</v>
      </c>
      <c r="K15" s="42">
        <v>6</v>
      </c>
      <c r="L15" s="40"/>
      <c r="M15" s="37">
        <v>6</v>
      </c>
      <c r="N15" s="145"/>
      <c r="O15" s="37">
        <v>7</v>
      </c>
      <c r="P15" s="38"/>
      <c r="Q15" s="41">
        <v>6</v>
      </c>
      <c r="R15" s="43"/>
      <c r="S15" s="91">
        <f>SUM(C16:R16)</f>
        <v>0</v>
      </c>
      <c r="T15" s="39"/>
      <c r="U15" s="40"/>
      <c r="V15" s="37"/>
      <c r="W15" s="40"/>
      <c r="X15" s="174"/>
      <c r="Y15" s="38"/>
      <c r="Z15" s="147"/>
      <c r="AA15" s="43"/>
      <c r="AB15" s="91">
        <f>SUM(T16:AA16)</f>
        <v>0</v>
      </c>
      <c r="AC15" s="41"/>
      <c r="AD15" s="40"/>
      <c r="AE15" s="42"/>
      <c r="AF15" s="176"/>
      <c r="AG15" s="91">
        <f>SUM(AC16:AF16)</f>
        <v>0</v>
      </c>
      <c r="AH15" s="181"/>
      <c r="AI15" s="48"/>
      <c r="AJ15" s="91">
        <f>AH16</f>
        <v>0</v>
      </c>
      <c r="AK15" s="82">
        <f>MAX($AL$11:$AL$33) - AL15</f>
        <v>0</v>
      </c>
      <c r="AL15" s="91">
        <f>$S15+$AB15+$AG15+$AJ15</f>
        <v>0</v>
      </c>
    </row>
    <row r="16" spans="1:38" s="23" customFormat="1" ht="12.75" hidden="1" customHeight="1" x14ac:dyDescent="0.2">
      <c r="A16" s="87">
        <f>RANK(AL16,$AL$11:$AL$33,)</f>
        <v>1</v>
      </c>
      <c r="B16" s="73"/>
      <c r="C16" s="88">
        <f>(IF($C15&lt;&gt;"",($C$7*$O$40)+IF($C$7=4,($O$38)+IF($C15=$C$7+$D$7,$O$39,0),0),0)+IF($D15&lt;&gt;"",($D$7*$O$40)+IF($D$7=4,($O$38)+IF($D15=$C$7+$D$7,$O$39,0),0),0))</f>
        <v>0</v>
      </c>
      <c r="D16" s="105"/>
      <c r="E16" s="94">
        <f>(IF($E15&lt;&gt;"",($E$7*$O$40)+IF($E$7=4,($O$38)+IF($E15=$E$7+$F$7,$O$39,0),0),0)+IF($F15&lt;&gt;"",($F$7*$O$40)+IF($F$7=4,($O$38)+IF($F15=$E$7+$F$7,$O$39,0),0),0))</f>
        <v>0</v>
      </c>
      <c r="F16" s="105"/>
      <c r="G16" s="94">
        <f>(IF($G15&lt;&gt;"",($G$7*$O$40)+IF($G$7=4,($O$38)+IF($G15=$G$7+$H$7,$O$39,0),0),0)+IF($H15&lt;&gt;"",($H$7*$O$40)+IF($H$7=4,($O$38)+IF($H15=$G$7+$H$7,$O$39,0),0),0))</f>
        <v>0</v>
      </c>
      <c r="H16" s="105"/>
      <c r="I16" s="89">
        <f>(IF($I15&lt;&gt;"",($I$7*$O$40)+IF($I$7=4,($O$38)+IF($I15=$I$7+$J$7,$O$39,0),0),0)+IF($J15&lt;&gt;"",($J$7*$O$40)+IF($J$7=4,($O$38)+IF($J15=$I$7+$J$7,$O$39,0),0),0))</f>
        <v>0</v>
      </c>
      <c r="J16" s="106"/>
      <c r="K16" s="107">
        <f>(IF($K15&lt;&gt;"",($K$7*$O$40)+IF($K$7=4,($O$38)+IF($K15=$K$7+$L$7,$O$39,0),0),0)+IF($L15&lt;&gt;"",($L$7*$O$40)+IF($L$7=4,($O$38)+IF($L15=$K$7+$L$7,$O$39,0),0),0))</f>
        <v>0</v>
      </c>
      <c r="L16" s="105"/>
      <c r="M16" s="94">
        <f>(IF($M15&lt;&gt;"",($M$7*$O$40)+IF($M$7=4,($O$38)+IF($M15=$M$7+$N$7,$O$39,0),0),0)+IF($N15&lt;&gt;"",($N$7*$O$40)+IF($N$7=4,($O$38)+IF($N15=$M$7+$N$7,$O$39,0),0),0))</f>
        <v>0</v>
      </c>
      <c r="N16" s="105"/>
      <c r="O16" s="89">
        <f>(IF($O15&lt;&gt;"",($O$7*$O$40)+IF($O$7=4,($O$38)+IF($O15=$O$7+$P$7,$O$39,0),0),0)+IF($P15&lt;&gt;"",($P$7*$O$40)+IF($P$7=4,($O$38)+IF($P15=$O$7+$P$7,$O$39,0),0),0))</f>
        <v>0</v>
      </c>
      <c r="P16" s="105"/>
      <c r="Q16" s="89">
        <f>(IF($Q15&lt;&gt;"",($Q$7*$O$40)+IF($Q$7=4,($O$38)+IF($Q15=$Q$7+$R$7,$O$39,0),0),0)+IF($R15&lt;&gt;"",($R$7*$O$40)+IF($R$7=4,($O$38)+IF($R15=$Q$7+$R$7,$O$39,0),0),0))</f>
        <v>0</v>
      </c>
      <c r="R16" s="108"/>
      <c r="S16" s="109"/>
      <c r="T16" s="95">
        <f>(IF($T15&lt;&gt;"",($T$7*$P$40)+IF($T$7=4,($P$38)+IF($T15=$T$7+$U$7,$P$39,0),0),0)+IF($U15&lt;&gt;"",($U$7*$P$40)+IF($U$7=4,($P$38)+IF($U15=$T$7+$U$7,$P$39,0),0),0))</f>
        <v>0</v>
      </c>
      <c r="U16" s="95"/>
      <c r="V16" s="95">
        <f>(IF($V15&lt;&gt;"",($V$7*$P$40)+IF($V$7=4,($P$38)+IF($V15=$V$7+$W$7,$P$39,0),0),0)+IF($W15&lt;&gt;"",($W$7*$P$40)+IF($W$7=4,($P$38)+IF($W15=$V$7+$W$7,$P$39,0),0),0))</f>
        <v>0</v>
      </c>
      <c r="W16" s="95"/>
      <c r="X16" s="95">
        <f>(IF($X15&lt;&gt;"",($X$7*$P$40)+IF($X$7=4,($P$38)+IF($X15=$X$7+$Y$7,$P$39,0),0),0)+IF($Y15&lt;&gt;"",($Y$7*$P$40)+IF($Y$7=4,($P$38)+IF($Y15=$X$7+$Y$7,$P$39,0),0),0))</f>
        <v>0</v>
      </c>
      <c r="Y16" s="49"/>
      <c r="Z16" s="95">
        <f>(IF($Z15&lt;&gt;"",($Z$7*$P$40)+IF($Z$7=4,($P$38)+IF($Z15=$Z$7+$AA$7,$P$39,0),0),0)+IF($AA15&lt;&gt;"",($AA$7*$P$40)+IF($AA$7=4,($P$38)+IF($AA15=$Z$7+$AA$7,$P$39,0),0),0))</f>
        <v>0</v>
      </c>
      <c r="AA16" s="50"/>
      <c r="AB16" s="109"/>
      <c r="AC16" s="95">
        <f>(IF($AC15&lt;&gt;"",($AC$7*$Q$40)+IF($AC$7=4,($Q$38)+IF($AC15=$AC$7+$AD$7,$Q$39,0),0),0)+IF($AD15&lt;&gt;"",($AD$7*$Q$40)+IF($AD$7=4,($Q$38)+IF($AD15=$AC$7+$AD$7,$Q$39,0),0),0))</f>
        <v>0</v>
      </c>
      <c r="AD16" s="95"/>
      <c r="AE16" s="95">
        <f>(IF($AE15&lt;&gt;"",($AE$7*$Q$40)+IF($AE$7=4,($Q$38)+IF($AE15=$AE$7+$AF$7,$Q$39,0),0),0)+IF($AF15&lt;&gt;"",($AF$7*$Q$40)+IF($AF$7=4,($Q$38)+IF($AF15=$AE$7+$AF$7,$Q$39,0),0),0))</f>
        <v>0</v>
      </c>
      <c r="AF16" s="66"/>
      <c r="AG16" s="109"/>
      <c r="AH16" s="95">
        <f>(IF($AH15&lt;&gt;"",($AH$7*$Q$40)+IF($AH$7=4,($R$38)+IF($AH15=$AH$7+$AI$7,$R$39,0),0),0)+IF($AI15&lt;&gt;"",($AI$7*$R$40)+IF($AI$7=4,($R$38)+IF($AI15=$AH$7+$AI$7,$R$39,0),0),0))</f>
        <v>0</v>
      </c>
      <c r="AI16" s="101"/>
      <c r="AJ16" s="90"/>
      <c r="AK16" s="67">
        <f>MAX($AL$11:$AL$33) - AL16</f>
        <v>0</v>
      </c>
      <c r="AL16" s="90"/>
    </row>
    <row r="17" spans="1:38" s="23" customFormat="1" ht="12.75" hidden="1" customHeight="1" x14ac:dyDescent="0.2">
      <c r="A17" s="74"/>
      <c r="B17" s="93"/>
      <c r="C17" s="88">
        <f>IF(ISBLANK(C15),
0,
IF(C$7= 4, 1, 0))</f>
        <v>0</v>
      </c>
      <c r="D17" s="88">
        <f>IF(ISBLANK(D15),
0,
IF(D$7 = 4, 1, 0))</f>
        <v>0</v>
      </c>
      <c r="E17" s="102">
        <f>IF(ISBLANK(E15),
0,
IF(E$7= 4, 1, 0))</f>
        <v>0</v>
      </c>
      <c r="F17" s="88">
        <f>IF(ISBLANK(F15),
0,
IF(F$7 = 4, 1, 0))</f>
        <v>0</v>
      </c>
      <c r="G17" s="88">
        <f>IF(ISBLANK(G15),
0,
IF(G$7= 4, 1, 0))</f>
        <v>0</v>
      </c>
      <c r="H17" s="88">
        <f>IF(ISBLANK(H15),
0,
IF(H$7 = 4, 1, 0))</f>
        <v>0</v>
      </c>
      <c r="I17" s="88">
        <f>IF(ISBLANK(I15),
0,
IF(I$7= 4, 1, 0))</f>
        <v>0</v>
      </c>
      <c r="J17" s="88">
        <f>IF(ISBLANK(J15),
0,
IF(J$7 = 4, 1, 0))</f>
        <v>0</v>
      </c>
      <c r="K17" s="88">
        <f>IF(ISBLANK(K15),
0,
IF(K$7= 4, 1, 0))</f>
        <v>0</v>
      </c>
      <c r="L17" s="88">
        <f>IF(ISBLANK(L15),
0,
IF(L$7 = 4, 1, 0))</f>
        <v>0</v>
      </c>
      <c r="M17" s="88">
        <f>IF(ISBLANK(M15),
0,
IF(M$7= 4, 1, 0))</f>
        <v>0</v>
      </c>
      <c r="N17" s="88">
        <f>IF(ISBLANK(N15),
0,
IF(N$7 = 4, 1, 0))</f>
        <v>0</v>
      </c>
      <c r="O17" s="88">
        <f>IF(ISBLANK(O15),
0,
IF(O$7= 4, 1, 0))</f>
        <v>0</v>
      </c>
      <c r="P17" s="88">
        <f>IF(ISBLANK(P15),
0,
IF(P$7 = 4, 1, 0))</f>
        <v>0</v>
      </c>
      <c r="Q17" s="88">
        <f>IF(ISBLANK(Q15),
0,
IF(Q$7= 4, 1, 0))</f>
        <v>0</v>
      </c>
      <c r="R17" s="88">
        <f>IF(ISBLANK(R15),
0,
IF(R$7 = 4, 1, 0))</f>
        <v>0</v>
      </c>
      <c r="S17" s="103"/>
      <c r="T17" s="88">
        <f>IF(ISBLANK(T15),
0,
IF(T$7= 4, 1, 0))</f>
        <v>0</v>
      </c>
      <c r="U17" s="88">
        <f>IF(ISBLANK(U15),
0,
IF(U$7 = 4, 1, 0))</f>
        <v>0</v>
      </c>
      <c r="V17" s="88">
        <f>IF(ISBLANK(V15),
0,
IF(V$7= 4, 1, 0))</f>
        <v>0</v>
      </c>
      <c r="W17" s="88">
        <f>IF(ISBLANK(W15),
0,
IF(W$7 = 4, 1, 0))</f>
        <v>0</v>
      </c>
      <c r="X17" s="88">
        <f>IF(ISBLANK(X15),
0,
IF(X$7= 4, 1, 0))</f>
        <v>0</v>
      </c>
      <c r="Y17" s="88">
        <f>IF(ISBLANK(Y15),
0,
IF(Y$7 = 4, 1, 0))</f>
        <v>0</v>
      </c>
      <c r="Z17" s="88">
        <f>IF(ISBLANK(Z15),
0,
IF(Z$7= 4, 1, 0))</f>
        <v>0</v>
      </c>
      <c r="AA17" s="88">
        <f>IF(ISBLANK(AA15),
0,
IF(AA$7 = 4, 1, 0))</f>
        <v>0</v>
      </c>
      <c r="AB17" s="103"/>
      <c r="AC17" s="88">
        <f>IF(ISBLANK(AC15),
0,
IF(AC$7= 4, 1, 0))</f>
        <v>0</v>
      </c>
      <c r="AD17" s="88">
        <f>IF(ISBLANK(AD15),
0,
IF(AD$7 = 4, 1, 0))</f>
        <v>0</v>
      </c>
      <c r="AE17" s="88">
        <f>IF(ISBLANK(AE15),
0,
IF(AE$7= 4, 1, 0))</f>
        <v>0</v>
      </c>
      <c r="AF17" s="88">
        <f>IF(ISBLANK(AF15),
0,
IF(AF$7 = 4, 1, 0))</f>
        <v>0</v>
      </c>
      <c r="AG17" s="103"/>
      <c r="AH17" s="88">
        <f>IF(ISBLANK(AH15),
0,
IF(AH$7= 4, 1, 0))</f>
        <v>0</v>
      </c>
      <c r="AI17" s="88">
        <f>IF(ISBLANK(AI15),
0,
IF(AI$7 = 4, 1, 0))</f>
        <v>0</v>
      </c>
      <c r="AJ17" s="103"/>
      <c r="AK17" s="104">
        <f>SUM(C17:AI17)</f>
        <v>0</v>
      </c>
      <c r="AL17" s="92"/>
    </row>
    <row r="18" spans="1:38" s="23" customFormat="1" ht="12.75" hidden="1" customHeight="1" x14ac:dyDescent="0.2">
      <c r="A18" s="74"/>
      <c r="B18" s="93"/>
      <c r="C18" s="88">
        <f>IF(C17 = 0,
0,
IF(C15 = (C$7+D$7),1,0))</f>
        <v>0</v>
      </c>
      <c r="D18" s="88">
        <f>IF(D17 = 0,
0,
IF(D15 = (C$7+D$7),1,0))</f>
        <v>0</v>
      </c>
      <c r="E18" s="102">
        <f>IF(E17 = 0,
0,
IF(E15 = (E$7+F$7),1,0))</f>
        <v>0</v>
      </c>
      <c r="F18" s="88">
        <f>IF(F17 = 0,
0,
IF(F15 = (E$7+F$7),1,0))</f>
        <v>0</v>
      </c>
      <c r="G18" s="88">
        <f>IF(G17 = 0,
0,
IF(G15 = (G$7+H$7),1,0))</f>
        <v>0</v>
      </c>
      <c r="H18" s="88">
        <f>IF(H17 = 0,
0,
IF(H15 = (G$7+H$7),1,0))</f>
        <v>0</v>
      </c>
      <c r="I18" s="88">
        <f>IF(I17 = 0,
0,
IF(I15 = (I$7+J$7),1,0))</f>
        <v>0</v>
      </c>
      <c r="J18" s="88">
        <f>IF(J17 = 0,
0,
IF(J15 = (I$7+J$7),1,0))</f>
        <v>0</v>
      </c>
      <c r="K18" s="88">
        <f>IF(K17 = 0,
0,
IF(K15 = (K$7+L$7),1,0))</f>
        <v>0</v>
      </c>
      <c r="L18" s="88">
        <f>IF(L17 = 0,
0,
IF(L15 = (K$7+L$7),1,0))</f>
        <v>0</v>
      </c>
      <c r="M18" s="88">
        <f>IF(M17 = 0,
0,
IF(M15 = (M$7+N$7),1,0))</f>
        <v>0</v>
      </c>
      <c r="N18" s="88">
        <f>IF(N17 = 0,
0,
IF(N15 = (M$7+N$7),1,0))</f>
        <v>0</v>
      </c>
      <c r="O18" s="88">
        <f>IF(O17 = 0,
0,
IF(O15 = (O$7+P$7),1,0))</f>
        <v>0</v>
      </c>
      <c r="P18" s="88">
        <f>IF(P17 = 0,
0,
IF(P15 = (O$7+P$7),1,0))</f>
        <v>0</v>
      </c>
      <c r="Q18" s="88">
        <f>IF(Q17 = 0,
0,
IF(Q15 = (Q$7+R$7),1,0))</f>
        <v>0</v>
      </c>
      <c r="R18" s="88">
        <f>IF(R17 = 0,
0,
IF(R15 = (Q$7+R$7),1,0))</f>
        <v>0</v>
      </c>
      <c r="S18" s="103"/>
      <c r="T18" s="88">
        <f>IF(T17 = 0,
0,
IF(T15 = (T$7+U$7),1,0))</f>
        <v>0</v>
      </c>
      <c r="U18" s="88">
        <f>IF(U17 = 0,
0,
IF(U15 = (T$7+U$7),1,0))</f>
        <v>0</v>
      </c>
      <c r="V18" s="88">
        <f>IF(V17 = 0,
0,
IF(V15 = (V$7+W$7),1,0))</f>
        <v>0</v>
      </c>
      <c r="W18" s="88">
        <f>IF(W17 = 0,
0,
IF(W15 = (V$7+W$7),1,0))</f>
        <v>0</v>
      </c>
      <c r="X18" s="88">
        <f>IF(X17 = 0,
0,
IF(X15 = (X$7+Y$7),1,0))</f>
        <v>0</v>
      </c>
      <c r="Y18" s="88">
        <f>IF(Y17 = 0,
0,
IF(Y15 = (X$7+Y$7),1,0))</f>
        <v>0</v>
      </c>
      <c r="Z18" s="88">
        <f>IF(Z17 = 0,
0,
IF(Z15 = (Z$7+AA$7),1,0))</f>
        <v>0</v>
      </c>
      <c r="AA18" s="88">
        <f>IF(AA17 = 0,
0,
IF(AA15 = (Z$7+AA$7),1,0))</f>
        <v>0</v>
      </c>
      <c r="AB18" s="103"/>
      <c r="AC18" s="88">
        <f>IF(AC17 = 0,
0,
IF(AC15 = (AC$7+AD$7),1,0))</f>
        <v>0</v>
      </c>
      <c r="AD18" s="88">
        <f>IF(AD17 = 0,
0,
IF(AD15 = (AC$7+AD$7),1,0))</f>
        <v>0</v>
      </c>
      <c r="AE18" s="88">
        <f>IF(AE17 = 0,
0,
IF(AE15 = (AE$7+AF$7),1,0))</f>
        <v>0</v>
      </c>
      <c r="AF18" s="88">
        <f>IF(AF17 = 0,
0,
IF(AF15 = (AE$7+AF$7),1,0))</f>
        <v>0</v>
      </c>
      <c r="AG18" s="103"/>
      <c r="AH18" s="88">
        <f>IF(AH17 = 0,
0,
IF(AH15 = (AH$7+AI$7),1,0))</f>
        <v>0</v>
      </c>
      <c r="AI18" s="88">
        <f>IF(AI17 = 0,
0,
IF(AI15 = (AH$7+AI$7),1,0))</f>
        <v>0</v>
      </c>
      <c r="AJ18" s="103"/>
      <c r="AK18" s="104">
        <f>SUM(C18:AI18)</f>
        <v>0</v>
      </c>
      <c r="AL18" s="92"/>
    </row>
    <row r="19" spans="1:38" ht="12.75" customHeight="1" x14ac:dyDescent="0.2">
      <c r="A19" s="148">
        <f>RANK(AL19,$AL$11:$AL$33,)</f>
        <v>1</v>
      </c>
      <c r="B19" s="149" t="s">
        <v>65</v>
      </c>
      <c r="C19" s="161">
        <v>6</v>
      </c>
      <c r="D19" s="162"/>
      <c r="E19" s="177"/>
      <c r="F19" s="162">
        <v>7</v>
      </c>
      <c r="G19" s="178">
        <v>4</v>
      </c>
      <c r="H19" s="164"/>
      <c r="I19" s="177"/>
      <c r="J19" s="164">
        <v>6</v>
      </c>
      <c r="K19" s="166">
        <v>5</v>
      </c>
      <c r="L19" s="164"/>
      <c r="M19" s="165">
        <v>7</v>
      </c>
      <c r="N19" s="162"/>
      <c r="O19" s="165">
        <v>7</v>
      </c>
      <c r="P19" s="162"/>
      <c r="Q19" s="163"/>
      <c r="R19" s="168">
        <v>7</v>
      </c>
      <c r="S19" s="169">
        <f>SUM(C20:R20)</f>
        <v>0</v>
      </c>
      <c r="T19" s="161"/>
      <c r="U19" s="164"/>
      <c r="V19" s="165"/>
      <c r="W19" s="164"/>
      <c r="X19" s="175"/>
      <c r="Y19" s="162"/>
      <c r="Z19" s="163"/>
      <c r="AA19" s="168"/>
      <c r="AB19" s="170">
        <f>SUM(T20:AA20)</f>
        <v>0</v>
      </c>
      <c r="AC19" s="163"/>
      <c r="AD19" s="164"/>
      <c r="AE19" s="166"/>
      <c r="AF19" s="173"/>
      <c r="AG19" s="170">
        <f>SUM(AC20:AF20)</f>
        <v>0</v>
      </c>
      <c r="AH19" s="180"/>
      <c r="AI19" s="171"/>
      <c r="AJ19" s="170">
        <f>AH20</f>
        <v>0</v>
      </c>
      <c r="AK19" s="172">
        <f>MAX($AL$11:$AL$33) - AL19</f>
        <v>0</v>
      </c>
      <c r="AL19" s="170">
        <f>$S19+$AB19+$AG19+$AJ19</f>
        <v>0</v>
      </c>
    </row>
    <row r="20" spans="1:38" s="23" customFormat="1" ht="12.75" hidden="1" customHeight="1" x14ac:dyDescent="0.2">
      <c r="A20" s="87">
        <f>RANK(AL20,$AL$11:$AL$33,)</f>
        <v>1</v>
      </c>
      <c r="B20" s="73"/>
      <c r="C20" s="88">
        <f>(IF($C19&lt;&gt;"",($C$7*$O$40)+IF($C$7=4,($O$38)+IF($C19=$C$7+$D$7,$O$39,0),0),0)+IF($D19&lt;&gt;"",($D$7*$O$40)+IF($D$7=4,($O$38)+IF($D19=$C$7+$D$7,$O$39,0),0),0))</f>
        <v>0</v>
      </c>
      <c r="D20" s="105"/>
      <c r="E20" s="94">
        <f>(IF($E19&lt;&gt;"",($E$7*$O$40)+IF($E$7=4,($O$38)+IF($E19=$E$7+$F$7,$O$39,0),0),0)+IF($F19&lt;&gt;"",($F$7*$O$40)+IF($F$7=4,($O$38)+IF($F19=$E$7+$F$7,$O$39,0),0),0))</f>
        <v>0</v>
      </c>
      <c r="F20" s="105"/>
      <c r="G20" s="89">
        <f>(IF($G19&lt;&gt;"",($G$7*$O$40)+IF($G$7=4,($O$38)+IF($G19=$G$7+$H$7,$O$39,0),0),0)+IF($H19&lt;&gt;"",($H$7*$O$40)+IF($H$7=4,($O$38)+IF($H19=$G$7+$H$7,$O$39,0),0),0))</f>
        <v>0</v>
      </c>
      <c r="H20" s="105"/>
      <c r="I20" s="89">
        <f>(IF($I19&lt;&gt;"",($I$7*$O$40)+IF($I$7=4,($O$38)+IF($I19=$I$7+$J$7,$O$39,0),0),0)+IF($J19&lt;&gt;"",($J$7*$O$40)+IF($J$7=4,($O$38)+IF($J19=$I$7+$J$7,$O$39,0),0),0))</f>
        <v>0</v>
      </c>
      <c r="J20" s="106"/>
      <c r="K20" s="107">
        <f>(IF($K19&lt;&gt;"",($K$7*$O$40)+IF($K$7=4,($O$38)+IF($K19=$K$7+$L$7,$O$39,0),0),0)+IF($L19&lt;&gt;"",($L$7*$O$40)+IF($L$7=4,($O$38)+IF($L19=$K$7+$L$7,$O$39,0),0),0))</f>
        <v>0</v>
      </c>
      <c r="L20" s="105"/>
      <c r="M20" s="89">
        <f>(IF($M19&lt;&gt;"",($M$7*$O$40)+IF($M$7=4,($O$38)+IF($M19=$M$7+$N$7,$O$39,0),0),0)+IF($N19&lt;&gt;"",($N$7*$O$40)+IF($N$7=4,($O$38)+IF($N19=$M$7+$N$7,$O$39,0),0),0))</f>
        <v>0</v>
      </c>
      <c r="N20" s="105"/>
      <c r="O20" s="89">
        <f>(IF($O19&lt;&gt;"",($O$7*$O$40)+IF($O$7=4,($O$38)+IF($O19=$O$7+$P$7,$O$39,0),0),0)+IF($P19&lt;&gt;"",($P$7*$O$40)+IF($P$7=4,($O$38)+IF($P19=$O$7+$P$7,$O$39,0),0),0))</f>
        <v>0</v>
      </c>
      <c r="P20" s="105"/>
      <c r="Q20" s="89">
        <f>(IF($Q19&lt;&gt;"",($Q$7*$O$40)+IF($Q$7=4,($O$38)+IF($Q19=$Q$7+$R$7,$O$39,0),0),0)+IF($R19&lt;&gt;"",($R$7*$O$40)+IF($R$7=4,($O$38)+IF($R19=$Q$7+$R$7,$O$39,0),0),0))</f>
        <v>0</v>
      </c>
      <c r="R20" s="108"/>
      <c r="S20" s="109"/>
      <c r="T20" s="95">
        <f>(IF($T19&lt;&gt;"",($T$7*$P$40)+IF($T$7=4,($P$38)+IF($T19=$T$7+$U$7,$P$39,0),0),0)+IF($U19&lt;&gt;"",($U$7*$P$40)+IF($U$7=4,($P$38)+IF($U19=$T$7+$U$7,$P$39,0),0),0))</f>
        <v>0</v>
      </c>
      <c r="U20" s="95"/>
      <c r="V20" s="95">
        <f>(IF($V19&lt;&gt;"",($V$7*$P$40)+IF($V$7=4,($P$38)+IF($V19=$V$7+$W$7,$P$39,0),0),0)+IF($W19&lt;&gt;"",($W$7*$P$40)+IF($W$7=4,($P$38)+IF($W19=$V$7+$W$7,$P$39,0),0),0))</f>
        <v>0</v>
      </c>
      <c r="W20" s="95"/>
      <c r="X20" s="95">
        <f>(IF($X19&lt;&gt;"",($X$7*$P$40)+IF($X$7=4,($P$38)+IF($X19=$X$7+$Y$7,$P$39,0),0),0)+IF($Y19&lt;&gt;"",($Y$7*$P$40)+IF($Y$7=4,($P$38)+IF($Y19=$X$7+$Y$7,$P$39,0),0),0))</f>
        <v>0</v>
      </c>
      <c r="Y20" s="49"/>
      <c r="Z20" s="95">
        <f>(IF($Z19&lt;&gt;"",($Z$7*$P$40)+IF($Z$7=4,($P$38)+IF($Z19=$Z$7+$AA$7,$P$39,0),0),0)+IF($AA19&lt;&gt;"",($AA$7*$P$40)+IF($AA$7=4,($P$38)+IF($AA19=$Z$7+$AA$7,$P$39,0),0),0))</f>
        <v>0</v>
      </c>
      <c r="AA20" s="50"/>
      <c r="AB20" s="109"/>
      <c r="AC20" s="95">
        <f>(IF($AC19&lt;&gt;"",($AC$7*$Q$40)+IF($AC$7=4,($Q$38)+IF($AC19=$AC$7+$AD$7,$Q$39,0),0),0)+IF($AD19&lt;&gt;"",($AD$7*$Q$40)+IF($AD$7=4,($Q$38)+IF($AD19=$AC$7+$AD$7,$Q$39,0),0),0))</f>
        <v>0</v>
      </c>
      <c r="AD20" s="95"/>
      <c r="AE20" s="95">
        <f>(IF($AE19&lt;&gt;"",($AE$7*$Q$40)+IF($AE$7=4,($Q$38)+IF($AE19=$AE$7+$AF$7,$Q$39,0),0),0)+IF($AF19&lt;&gt;"",($AF$7*$Q$40)+IF($AF$7=4,($Q$38)+IF($AF19=$AE$7+$AF$7,$Q$39,0),0),0))</f>
        <v>0</v>
      </c>
      <c r="AF20" s="66"/>
      <c r="AG20" s="109"/>
      <c r="AH20" s="95">
        <f>(IF($AH19&lt;&gt;"",($AH$7*$Q$40)+IF($AH$7=4,($R$38)+IF($AH19=$AH$7+$AI$7,$R$39,0),0),0)+IF($AI19&lt;&gt;"",($AI$7*$R$40)+IF($AI$7=4,($R$38)+IF($AI19=$AH$7+$AI$7,$R$39,0),0),0))</f>
        <v>0</v>
      </c>
      <c r="AI20" s="101"/>
      <c r="AJ20" s="109"/>
      <c r="AK20" s="36">
        <f>MAX($AL$11:$AL$33) - AL20</f>
        <v>0</v>
      </c>
      <c r="AL20" s="90"/>
    </row>
    <row r="21" spans="1:38" s="23" customFormat="1" ht="12.75" hidden="1" customHeight="1" x14ac:dyDescent="0.2">
      <c r="A21" s="87"/>
      <c r="B21" s="93"/>
      <c r="C21" s="88">
        <f>IF(ISBLANK(C19),
0,
IF(C$7= 4, 1, 0))</f>
        <v>0</v>
      </c>
      <c r="D21" s="88">
        <f>IF(ISBLANK(D19),
0,
IF(D$7 = 4, 1, 0))</f>
        <v>0</v>
      </c>
      <c r="E21" s="102">
        <f>IF(ISBLANK(E19),
0,
IF(E$7= 4, 1, 0))</f>
        <v>0</v>
      </c>
      <c r="F21" s="88">
        <f>IF(ISBLANK(F19),
0,
IF(F$7 = 4, 1, 0))</f>
        <v>0</v>
      </c>
      <c r="G21" s="88">
        <f>IF(ISBLANK(G19),
0,
IF(G$7= 4, 1, 0))</f>
        <v>0</v>
      </c>
      <c r="H21" s="88">
        <f>IF(ISBLANK(H19),
0,
IF(H$7 = 4, 1, 0))</f>
        <v>0</v>
      </c>
      <c r="I21" s="88">
        <f>IF(ISBLANK(I19),
0,
IF(I$7= 4, 1, 0))</f>
        <v>0</v>
      </c>
      <c r="J21" s="88">
        <f>IF(ISBLANK(J19),
0,
IF(J$7 = 4, 1, 0))</f>
        <v>0</v>
      </c>
      <c r="K21" s="88">
        <f>IF(ISBLANK(K19),
0,
IF(K$7= 4, 1, 0))</f>
        <v>0</v>
      </c>
      <c r="L21" s="88">
        <f>IF(ISBLANK(L19),
0,
IF(L$7 = 4, 1, 0))</f>
        <v>0</v>
      </c>
      <c r="M21" s="88">
        <f>IF(ISBLANK(M19),
0,
IF(M$7= 4, 1, 0))</f>
        <v>0</v>
      </c>
      <c r="N21" s="88">
        <f>IF(ISBLANK(N19),
0,
IF(N$7 = 4, 1, 0))</f>
        <v>0</v>
      </c>
      <c r="O21" s="88">
        <f>IF(ISBLANK(O19),
0,
IF(O$7= 4, 1, 0))</f>
        <v>0</v>
      </c>
      <c r="P21" s="88">
        <f>IF(ISBLANK(P19),
0,
IF(P$7 = 4, 1, 0))</f>
        <v>0</v>
      </c>
      <c r="Q21" s="88">
        <f>IF(ISBLANK(Q19),
0,
IF(Q$7= 4, 1, 0))</f>
        <v>0</v>
      </c>
      <c r="R21" s="88">
        <f>IF(ISBLANK(R19),
0,
IF(R$7 = 4, 1, 0))</f>
        <v>0</v>
      </c>
      <c r="S21" s="103"/>
      <c r="T21" s="88">
        <f>IF(ISBLANK(T19),
0,
IF(T$7= 4, 1, 0))</f>
        <v>0</v>
      </c>
      <c r="U21" s="88">
        <f>IF(ISBLANK(U19),
0,
IF(U$7 = 4, 1, 0))</f>
        <v>0</v>
      </c>
      <c r="V21" s="88">
        <f>IF(ISBLANK(V19),
0,
IF(V$7= 4, 1, 0))</f>
        <v>0</v>
      </c>
      <c r="W21" s="88">
        <f>IF(ISBLANK(W19),
0,
IF(W$7 = 4, 1, 0))</f>
        <v>0</v>
      </c>
      <c r="X21" s="88">
        <f>IF(ISBLANK(X19),
0,
IF(X$7= 4, 1, 0))</f>
        <v>0</v>
      </c>
      <c r="Y21" s="88">
        <f>IF(ISBLANK(Y19),
0,
IF(Y$7 = 4, 1, 0))</f>
        <v>0</v>
      </c>
      <c r="Z21" s="88">
        <f>IF(ISBLANK(Z19),
0,
IF(Z$7= 4, 1, 0))</f>
        <v>0</v>
      </c>
      <c r="AA21" s="88">
        <f>IF(ISBLANK(AA19),
0,
IF(AA$7 = 4, 1, 0))</f>
        <v>0</v>
      </c>
      <c r="AB21" s="103"/>
      <c r="AC21" s="88">
        <f>IF(ISBLANK(AC19),
0,
IF(AC$7= 4, 1, 0))</f>
        <v>0</v>
      </c>
      <c r="AD21" s="88">
        <f>IF(ISBLANK(AD19),
0,
IF(AD$7 = 4, 1, 0))</f>
        <v>0</v>
      </c>
      <c r="AE21" s="88">
        <f>IF(ISBLANK(AE19),
0,
IF(AE$7= 4, 1, 0))</f>
        <v>0</v>
      </c>
      <c r="AF21" s="88">
        <f>IF(ISBLANK(AF19),
0,
IF(AF$7 = 4, 1, 0))</f>
        <v>0</v>
      </c>
      <c r="AG21" s="103"/>
      <c r="AH21" s="88">
        <f>IF(ISBLANK(AH19),
0,
IF(AH$7= 4, 1, 0))</f>
        <v>0</v>
      </c>
      <c r="AI21" s="88">
        <f>IF(ISBLANK(AI19),
0,
IF(AI$7 = 4, 1, 0))</f>
        <v>0</v>
      </c>
      <c r="AJ21" s="103"/>
      <c r="AK21" s="104">
        <f>SUM(C21:AI21)</f>
        <v>0</v>
      </c>
      <c r="AL21" s="92"/>
    </row>
    <row r="22" spans="1:38" s="23" customFormat="1" ht="12.75" hidden="1" customHeight="1" x14ac:dyDescent="0.2">
      <c r="A22" s="87"/>
      <c r="B22" s="93"/>
      <c r="C22" s="88">
        <f>IF(C21 = 0,
0,
IF(C19 = (C$7+D$7),1,0))</f>
        <v>0</v>
      </c>
      <c r="D22" s="88">
        <f>IF(D21 = 0,
0,
IF(D19 = (C$7+D$7),1,0))</f>
        <v>0</v>
      </c>
      <c r="E22" s="102">
        <f>IF(E21 = 0,
0,
IF(E19 = (E$7+F$7),1,0))</f>
        <v>0</v>
      </c>
      <c r="F22" s="88">
        <f>IF(F21 = 0,
0,
IF(F19 = (E$7+F$7),1,0))</f>
        <v>0</v>
      </c>
      <c r="G22" s="88">
        <f>IF(G21 = 0,
0,
IF(G19 = (G$7+H$7),1,0))</f>
        <v>0</v>
      </c>
      <c r="H22" s="88">
        <f>IF(H21 = 0,
0,
IF(H19 = (G$7+H$7),1,0))</f>
        <v>0</v>
      </c>
      <c r="I22" s="88">
        <f>IF(I21 = 0,
0,
IF(I19 = (I$7+J$7),1,0))</f>
        <v>0</v>
      </c>
      <c r="J22" s="88">
        <f>IF(J21 = 0,
0,
IF(J19 = (I$7+J$7),1,0))</f>
        <v>0</v>
      </c>
      <c r="K22" s="88">
        <f>IF(K21 = 0,
0,
IF(K19 = (K$7+L$7),1,0))</f>
        <v>0</v>
      </c>
      <c r="L22" s="88">
        <f>IF(L21 = 0,
0,
IF(L19 = (K$7+L$7),1,0))</f>
        <v>0</v>
      </c>
      <c r="M22" s="88">
        <f>IF(M21 = 0,
0,
IF(M19 = (M$7+N$7),1,0))</f>
        <v>0</v>
      </c>
      <c r="N22" s="88">
        <f>IF(N21 = 0,
0,
IF(N19 = (M$7+N$7),1,0))</f>
        <v>0</v>
      </c>
      <c r="O22" s="88">
        <f>IF(O21 = 0,
0,
IF(O19 = (O$7+P$7),1,0))</f>
        <v>0</v>
      </c>
      <c r="P22" s="88">
        <f>IF(P21 = 0,
0,
IF(P19 = (O$7+P$7),1,0))</f>
        <v>0</v>
      </c>
      <c r="Q22" s="88">
        <f>IF(Q21 = 0,
0,
IF(Q19 = (Q$7+R$7),1,0))</f>
        <v>0</v>
      </c>
      <c r="R22" s="88">
        <f>IF(R21 = 0,
0,
IF(R19 = (Q$7+R$7),1,0))</f>
        <v>0</v>
      </c>
      <c r="S22" s="103"/>
      <c r="T22" s="88">
        <f>IF(T21 = 0,
0,
IF(T19 = (T$7+U$7),1,0))</f>
        <v>0</v>
      </c>
      <c r="U22" s="88">
        <f>IF(U21 = 0,
0,
IF(U19 = (T$7+U$7),1,0))</f>
        <v>0</v>
      </c>
      <c r="V22" s="88">
        <f>IF(V21 = 0,
0,
IF(V19 = (V$7+W$7),1,0))</f>
        <v>0</v>
      </c>
      <c r="W22" s="88">
        <f>IF(W21 = 0,
0,
IF(W19 = (V$7+W$7),1,0))</f>
        <v>0</v>
      </c>
      <c r="X22" s="88">
        <f>IF(X21 = 0,
0,
IF(X19 = (X$7+Y$7),1,0))</f>
        <v>0</v>
      </c>
      <c r="Y22" s="88">
        <f>IF(Y21 = 0,
0,
IF(Y19 = (X$7+Y$7),1,0))</f>
        <v>0</v>
      </c>
      <c r="Z22" s="88">
        <f>IF(Z21 = 0,
0,
IF(Z19 = (Z$7+AA$7),1,0))</f>
        <v>0</v>
      </c>
      <c r="AA22" s="88">
        <f>IF(AA21 = 0,
0,
IF(AA19 = (Z$7+AA$7),1,0))</f>
        <v>0</v>
      </c>
      <c r="AB22" s="103"/>
      <c r="AC22" s="88">
        <f>IF(AC21 = 0,
0,
IF(AC19 = (AC$7+AD$7),1,0))</f>
        <v>0</v>
      </c>
      <c r="AD22" s="88">
        <f>IF(AD21 = 0,
0,
IF(AD19 = (AC$7+AD$7),1,0))</f>
        <v>0</v>
      </c>
      <c r="AE22" s="88">
        <f>IF(AE21 = 0,
0,
IF(AE19 = (AE$7+AF$7),1,0))</f>
        <v>0</v>
      </c>
      <c r="AF22" s="88">
        <f>IF(AF21 = 0,
0,
IF(AF19 = (AE$7+AF$7),1,0))</f>
        <v>0</v>
      </c>
      <c r="AG22" s="103"/>
      <c r="AH22" s="88">
        <f>IF(AH21 = 0,
0,
IF(AH19 = (AH$7+AI$7),1,0))</f>
        <v>0</v>
      </c>
      <c r="AI22" s="88">
        <f>IF(AI21 = 0,
0,
IF(AI19 = (AH$7+AI$7),1,0))</f>
        <v>0</v>
      </c>
      <c r="AJ22" s="103"/>
      <c r="AK22" s="104">
        <f>SUM(C22:AI22)</f>
        <v>0</v>
      </c>
      <c r="AL22" s="92"/>
    </row>
    <row r="23" spans="1:38" s="23" customFormat="1" ht="12.75" customHeight="1" x14ac:dyDescent="0.2">
      <c r="A23" s="87">
        <f>RANK(AL23,$AL$11:$AL$33,)</f>
        <v>1</v>
      </c>
      <c r="B23" s="65" t="s">
        <v>66</v>
      </c>
      <c r="C23" s="39">
        <v>5</v>
      </c>
      <c r="D23" s="38"/>
      <c r="E23" s="37"/>
      <c r="F23" s="38">
        <v>4</v>
      </c>
      <c r="G23" s="41"/>
      <c r="H23" s="176">
        <v>6</v>
      </c>
      <c r="I23" s="37">
        <v>7</v>
      </c>
      <c r="J23" s="40"/>
      <c r="K23" s="42"/>
      <c r="L23" s="40">
        <v>5</v>
      </c>
      <c r="M23" s="37"/>
      <c r="N23" s="38">
        <v>5</v>
      </c>
      <c r="O23" s="37">
        <v>5</v>
      </c>
      <c r="P23" s="38"/>
      <c r="Q23" s="41"/>
      <c r="R23" s="43">
        <v>5</v>
      </c>
      <c r="S23" s="91">
        <f>SUM(C24:R24)</f>
        <v>0</v>
      </c>
      <c r="T23" s="39"/>
      <c r="U23" s="40"/>
      <c r="V23" s="37"/>
      <c r="W23" s="40"/>
      <c r="X23" s="42"/>
      <c r="Y23" s="38"/>
      <c r="Z23" s="41"/>
      <c r="AA23" s="43"/>
      <c r="AB23" s="91">
        <f>SUM(T24:AA24)</f>
        <v>0</v>
      </c>
      <c r="AC23" s="41"/>
      <c r="AD23" s="40"/>
      <c r="AE23" s="42"/>
      <c r="AF23" s="40"/>
      <c r="AG23" s="91">
        <f>SUM(AC24:AF24)</f>
        <v>0</v>
      </c>
      <c r="AH23" s="179"/>
      <c r="AI23" s="47"/>
      <c r="AJ23" s="91">
        <f>AH24</f>
        <v>0</v>
      </c>
      <c r="AK23" s="82">
        <f>MAX($AL$11:$AL$33) - AL23</f>
        <v>0</v>
      </c>
      <c r="AL23" s="91">
        <f>$S23+$AB23+$AG23+$AJ23</f>
        <v>0</v>
      </c>
    </row>
    <row r="24" spans="1:38" s="23" customFormat="1" ht="12.75" hidden="1" customHeight="1" x14ac:dyDescent="0.2">
      <c r="A24" s="87">
        <f>RANK(AL24,$AL$11:$AL$33,)</f>
        <v>1</v>
      </c>
      <c r="B24" s="67"/>
      <c r="C24" s="102">
        <f>(IF($C23&lt;&gt;"",($C$7*$O$40)+IF($C$7=4,($O$38)+IF($C23=$C$7+$D$7,$O$39,0),0),0)+IF($D23&lt;&gt;"",($D$7*$O$40)+IF($D$7=4,($O$38)+IF($D23=$C$7+$D$7,$O$39,0),0),0))</f>
        <v>0</v>
      </c>
      <c r="D24" s="110"/>
      <c r="E24" s="94">
        <f>(IF($E23&lt;&gt;"",($E$7*$O$40)+IF($E$7=4,($O$38)+IF($E23=$E$7+$F$7,$O$39,0),0),0)+IF($F23&lt;&gt;"",($F$7*$O$40)+IF($F$7=4,($O$38)+IF($F23=$E$7+$F$7,$O$39,0),0),0))</f>
        <v>0</v>
      </c>
      <c r="F24" s="110"/>
      <c r="G24" s="94">
        <f>(IF($G23&lt;&gt;"",($G$7*$O$40)+IF($G$7=4,($O$38)+IF($G23=$G$7+$H$7,$O$39,0),0),0)+IF($H23&lt;&gt;"",($H$7*$O$40)+IF($H$7=4,($O$38)+IF($H23=$G$7+$H$7,$O$39,0),0),0))</f>
        <v>0</v>
      </c>
      <c r="H24" s="110"/>
      <c r="I24" s="94">
        <f>(IF($I23&lt;&gt;"",($I$7*$O$40)+IF($I$7=4,($O$38)+IF($I23=$I$7+$J$7,$O$39,0),0),0)+IF($J23&lt;&gt;"",($J$7*$O$40)+IF($J$7=4,($O$38)+IF($J23=$I$7+$J$7,$O$39,0),0),0))</f>
        <v>0</v>
      </c>
      <c r="J24" s="111"/>
      <c r="K24" s="112">
        <f>(IF($K23&lt;&gt;"",($K$7*$O$40)+IF($K$7=4,($O$38)+IF($K23=$K$7+$L$7,$O$39,0),0),0)+IF($L23&lt;&gt;"",($L$7*$O$40)+IF($L$7=4,($O$38)+IF($L23=$K$7+$L$7,$O$39,0),0),0))</f>
        <v>0</v>
      </c>
      <c r="L24" s="110"/>
      <c r="M24" s="94">
        <f>(IF($M23&lt;&gt;"",($M$7*$O$40)+IF($M$7=4,($O$38)+IF($M23=$M$7+$N$7,$O$39,0),0),0)+IF($N23&lt;&gt;"",($N$7*$O$40)+IF($N$7=4,($O$38)+IF($N23=$M$7+$N$7,$O$39,0),0),0))</f>
        <v>0</v>
      </c>
      <c r="N24" s="110"/>
      <c r="O24" s="94">
        <f>(IF($O23&lt;&gt;"",($O$7*$O$40)+IF($O$7=4,($O$38)+IF($O23=$O$7+$P$7,$O$39,0),0),0)+IF($P23&lt;&gt;"",($P$7*$O$40)+IF($P$7=4,($O$38)+IF($P23=$O$7+$P$7,$O$39,0),0),0))</f>
        <v>0</v>
      </c>
      <c r="P24" s="110"/>
      <c r="Q24" s="94">
        <f>(IF($Q23&lt;&gt;"",($Q$7*$O$40)+IF($Q$7=4,($O$38)+IF($Q23=$Q$7+$R$7,$O$39,0),0),0)+IF($R23&lt;&gt;"",($R$7*$O$40)+IF($R$7=4,($O$38)+IF($R23=$Q$7+$R$7,$O$39,0),0),0))</f>
        <v>0</v>
      </c>
      <c r="R24" s="113"/>
      <c r="S24" s="109"/>
      <c r="T24" s="95">
        <f>(IF($T23&lt;&gt;"",($T$7*$P$40)+IF($T$7=4,($P$38)+IF($T23=$T$7+$U$7,$P$39,0),0),0)+IF($U23&lt;&gt;"",($U$7*$P$40)+IF($U$7=4,($P$38)+IF($U23=$T$7+$U$7,$P$39,0),0),0))</f>
        <v>0</v>
      </c>
      <c r="U24" s="95"/>
      <c r="V24" s="95">
        <f>(IF($V23&lt;&gt;"",($V$7*$P$40)+IF($V$7=4,($P$38)+IF($V23=$V$7+$W$7,$P$39,0),0),0)+IF($W23&lt;&gt;"",($W$7*$P$40)+IF($W$7=4,($P$38)+IF($W23=$V$7+$W$7,$P$39,0),0),0))</f>
        <v>0</v>
      </c>
      <c r="W24" s="95"/>
      <c r="X24" s="95">
        <f>(IF($X23&lt;&gt;"",($X$7*$P$40)+IF($X$7=4,($P$38)+IF($X23=$X$7+$Y$7,$P$39,0),0),0)+IF($Y23&lt;&gt;"",($Y$7*$P$40)+IF($Y$7=4,($P$38)+IF($Y23=$X$7+$Y$7,$P$39,0),0),0))</f>
        <v>0</v>
      </c>
      <c r="Y24" s="49"/>
      <c r="Z24" s="102">
        <f>(IF($Z23&lt;&gt;"",($Z$7*$P$40)+IF($Z$7=4,($P$38)+IF($Z23=$Z$7+$AA$7,$P$39,0),0),0)+IF($AA23&lt;&gt;"",($AA$7*$P$40)+IF($AA$7=4,($P$38)+IF($AA23=$Z$7+$AA$7,$P$39,0),0),0))</f>
        <v>0</v>
      </c>
      <c r="AA24" s="50"/>
      <c r="AB24" s="109"/>
      <c r="AC24" s="95">
        <f>(IF($AC23&lt;&gt;"",($AC$7*$Q$40)+IF($AC$7=4,($Q$38)+IF($AC23=$AC$7+$AD$7,$Q$39,0),0),0)+IF($AD23&lt;&gt;"",($AD$7*$Q$40)+IF($AD$7=4,($Q$38)+IF($AD23=$AC$7+$AD$7,$Q$39,0),0),0))</f>
        <v>0</v>
      </c>
      <c r="AD24" s="95"/>
      <c r="AE24" s="95">
        <f>(IF($AE23&lt;&gt;"",($AE$7*$Q$40)+IF($AE$7=4,($Q$38)+IF($AE23=$AE$7+$AF$7,$Q$39,0),0),0)+IF($AF23&lt;&gt;"",($AF$7*$Q$40)+IF($AF$7=4,($Q$38)+IF($AF23=$AE$7+$AF$7,$Q$39,0),0),0))</f>
        <v>0</v>
      </c>
      <c r="AF24" s="66"/>
      <c r="AG24" s="109"/>
      <c r="AH24" s="95">
        <f>(IF($AH23&lt;&gt;"",($AH$7*$Q$40)+IF($AH$7=4,($R$38)+IF($AH23=$AH$7+$AI$7,$R$39,0),0),0)+IF($AI23&lt;&gt;"",($AI$7*$R$40)+IF($AI$7=4,($R$38)+IF($AI23=$AH$7+$AI$7,$R$39,0),0),0))</f>
        <v>0</v>
      </c>
      <c r="AI24" s="101"/>
      <c r="AJ24" s="109"/>
      <c r="AK24" s="36">
        <f>MAX($AL$11:$AL$33) - AL24</f>
        <v>0</v>
      </c>
      <c r="AL24" s="90"/>
    </row>
    <row r="25" spans="1:38" s="23" customFormat="1" hidden="1" x14ac:dyDescent="0.2">
      <c r="A25" s="74"/>
      <c r="B25" s="93"/>
      <c r="C25" s="88">
        <f>IF(ISBLANK(C23),
0,
IF(C$7= 4, 1, 0))</f>
        <v>0</v>
      </c>
      <c r="D25" s="88">
        <f>IF(ISBLANK(D23),
0,
IF(D$7 = 4, 1, 0))</f>
        <v>0</v>
      </c>
      <c r="E25" s="88">
        <f>IF(ISBLANK(E23),
0,
IF(E$7= 4, 1, 0))</f>
        <v>0</v>
      </c>
      <c r="F25" s="88">
        <f>IF(ISBLANK(F23),
0,
IF(F$7 = 4, 1, 0))</f>
        <v>0</v>
      </c>
      <c r="G25" s="88">
        <f>IF(ISBLANK(G23),
0,
IF(G$7= 4, 1, 0))</f>
        <v>0</v>
      </c>
      <c r="H25" s="88">
        <f>IF(ISBLANK(H23),
0,
IF(H$7 = 4, 1, 0))</f>
        <v>0</v>
      </c>
      <c r="I25" s="88">
        <f>IF(ISBLANK(I23),
0,
IF(I$7= 4, 1, 0))</f>
        <v>0</v>
      </c>
      <c r="J25" s="88">
        <f>IF(ISBLANK(J23),
0,
IF(J$7 = 4, 1, 0))</f>
        <v>0</v>
      </c>
      <c r="K25" s="88">
        <f>IF(ISBLANK(K23),
0,
IF(K$7= 4, 1, 0))</f>
        <v>0</v>
      </c>
      <c r="L25" s="88">
        <f>IF(ISBLANK(L23),
0,
IF(L$7 = 4, 1, 0))</f>
        <v>0</v>
      </c>
      <c r="M25" s="88">
        <f>IF(ISBLANK(M23),
0,
IF(M$7= 4, 1, 0))</f>
        <v>0</v>
      </c>
      <c r="N25" s="102">
        <f>IF(ISBLANK(N23),
0,
IF(N$7 = 4, 1, 0))</f>
        <v>0</v>
      </c>
      <c r="O25" s="88">
        <f>IF(ISBLANK(O23),
0,
IF(O$7= 4, 1, 0))</f>
        <v>0</v>
      </c>
      <c r="P25" s="88">
        <f>IF(ISBLANK(P23),
0,
IF(P$7 = 4, 1, 0))</f>
        <v>0</v>
      </c>
      <c r="Q25" s="88">
        <f>IF(ISBLANK(Q23),
0,
IF(Q$7= 4, 1, 0))</f>
        <v>0</v>
      </c>
      <c r="R25" s="88">
        <f>IF(ISBLANK(R23),
0,
IF(R$7 = 4, 1, 0))</f>
        <v>0</v>
      </c>
      <c r="S25" s="103"/>
      <c r="T25" s="88">
        <f>IF(ISBLANK(T23),
0,
IF(T$7= 4, 1, 0))</f>
        <v>0</v>
      </c>
      <c r="U25" s="88">
        <f>IF(ISBLANK(U23),
0,
IF(U$7 = 4, 1, 0))</f>
        <v>0</v>
      </c>
      <c r="V25" s="88">
        <f>IF(ISBLANK(V23),
0,
IF(V$7= 4, 1, 0))</f>
        <v>0</v>
      </c>
      <c r="W25" s="88">
        <f>IF(ISBLANK(W23),
0,
IF(W$7 = 4, 1, 0))</f>
        <v>0</v>
      </c>
      <c r="X25" s="88">
        <f>IF(ISBLANK(X23),
0,
IF(X$7= 4, 1, 0))</f>
        <v>0</v>
      </c>
      <c r="Y25" s="88">
        <f>IF(ISBLANK(Y23),
0,
IF(Y$7 = 4, 1, 0))</f>
        <v>0</v>
      </c>
      <c r="Z25" s="102">
        <f>IF(ISBLANK(Z23),
0,
IF(Z$7= 4, 1, 0))</f>
        <v>0</v>
      </c>
      <c r="AA25" s="88">
        <f>IF(ISBLANK(AA23),
0,
IF(AA$7 = 4, 1, 0))</f>
        <v>0</v>
      </c>
      <c r="AB25" s="103"/>
      <c r="AC25" s="88">
        <f>IF(ISBLANK(AC23),
0,
IF(AC$7= 4, 1, 0))</f>
        <v>0</v>
      </c>
      <c r="AD25" s="88">
        <f>IF(ISBLANK(AD23),
0,
IF(AD$7 = 4, 1, 0))</f>
        <v>0</v>
      </c>
      <c r="AE25" s="88">
        <f>IF(ISBLANK(AE23),
0,
IF(AE$7= 4, 1, 0))</f>
        <v>0</v>
      </c>
      <c r="AF25" s="88">
        <f>IF(ISBLANK(AF23),
0,
IF(AF$7 = 4, 1, 0))</f>
        <v>0</v>
      </c>
      <c r="AG25" s="103"/>
      <c r="AH25" s="88">
        <f>IF(ISBLANK(AH23),
0,
IF(AH$7= 4, 1, 0))</f>
        <v>0</v>
      </c>
      <c r="AI25" s="88">
        <f>IF(ISBLANK(AI23),
0,
IF(AI$7 = 4, 1, 0))</f>
        <v>0</v>
      </c>
      <c r="AJ25" s="103"/>
      <c r="AK25" s="104">
        <f>SUM(C25:AI25)</f>
        <v>0</v>
      </c>
      <c r="AL25" s="92"/>
    </row>
    <row r="26" spans="1:38" s="23" customFormat="1" hidden="1" x14ac:dyDescent="0.2">
      <c r="A26" s="74"/>
      <c r="B26" s="93"/>
      <c r="C26" s="88">
        <f>IF(C25 = 0,
0,
IF(C23 = (C$7+D$7),1,0))</f>
        <v>0</v>
      </c>
      <c r="D26" s="88">
        <f>IF(D25 = 0,
0,
IF(D23 = (C$7+D$7),1,0))</f>
        <v>0</v>
      </c>
      <c r="E26" s="88">
        <f>IF(E25 = 0,
0,
IF(E23 = (E$7+F$7),1,0))</f>
        <v>0</v>
      </c>
      <c r="F26" s="88">
        <f>IF(F25 = 0,
0,
IF(F23 = (E$7+F$7),1,0))</f>
        <v>0</v>
      </c>
      <c r="G26" s="88">
        <f>IF(G25 = 0,
0,
IF(G23 = (G$7+H$7),1,0))</f>
        <v>0</v>
      </c>
      <c r="H26" s="88">
        <f>IF(H25 = 0,
0,
IF(H23 = (G$7+H$7),1,0))</f>
        <v>0</v>
      </c>
      <c r="I26" s="88">
        <f>IF(I25 = 0,
0,
IF(I23 = (I$7+J$7),1,0))</f>
        <v>0</v>
      </c>
      <c r="J26" s="88">
        <f>IF(J25 = 0,
0,
IF(J23 = (I$7+J$7),1,0))</f>
        <v>0</v>
      </c>
      <c r="K26" s="88">
        <f>IF(K25 = 0,
0,
IF(K23 = (K$7+L$7),1,0))</f>
        <v>0</v>
      </c>
      <c r="L26" s="88">
        <f>IF(L25 = 0,
0,
IF(L23 = (K$7+L$7),1,0))</f>
        <v>0</v>
      </c>
      <c r="M26" s="88">
        <f>IF(M25 = 0,
0,
IF(M23 = (M$7+N$7),1,0))</f>
        <v>0</v>
      </c>
      <c r="N26" s="102">
        <f>IF(N25 = 0,
0,
IF(N23 = (M$7+N$7),1,0))</f>
        <v>0</v>
      </c>
      <c r="O26" s="88">
        <f>IF(O25 = 0,
0,
IF(O23 = (O$7+P$7),1,0))</f>
        <v>0</v>
      </c>
      <c r="P26" s="88">
        <f>IF(P25 = 0,
0,
IF(P23 = (O$7+P$7),1,0))</f>
        <v>0</v>
      </c>
      <c r="Q26" s="88">
        <f>IF(Q25 = 0,
0,
IF(Q23 = (Q$7+R$7),1,0))</f>
        <v>0</v>
      </c>
      <c r="R26" s="88">
        <f>IF(R25 = 0,
0,
IF(R23 = (Q$7+R$7),1,0))</f>
        <v>0</v>
      </c>
      <c r="S26" s="103"/>
      <c r="T26" s="88">
        <f>IF(T25 = 0,
0,
IF(T23 = (T$7+U$7),1,0))</f>
        <v>0</v>
      </c>
      <c r="U26" s="88">
        <f>IF(U25 = 0,
0,
IF(U23 = (T$7+U$7),1,0))</f>
        <v>0</v>
      </c>
      <c r="V26" s="88">
        <f>IF(V25 = 0,
0,
IF(V23 = (V$7+W$7),1,0))</f>
        <v>0</v>
      </c>
      <c r="W26" s="88">
        <f>IF(W25 = 0,
0,
IF(W23 = (V$7+W$7),1,0))</f>
        <v>0</v>
      </c>
      <c r="X26" s="88">
        <f>IF(X25 = 0,
0,
IF(X23 = (X$7+Y$7),1,0))</f>
        <v>0</v>
      </c>
      <c r="Y26" s="88">
        <f>IF(Y25 = 0,
0,
IF(Y23 = (X$7+Y$7),1,0))</f>
        <v>0</v>
      </c>
      <c r="Z26" s="102">
        <f>IF(Z25 = 0,
0,
IF(Z23 = (Z$7+AA$7),1,0))</f>
        <v>0</v>
      </c>
      <c r="AA26" s="88">
        <f>IF(AA25 = 0,
0,
IF(AA23 = (Z$7+AA$7),1,0))</f>
        <v>0</v>
      </c>
      <c r="AB26" s="103"/>
      <c r="AC26" s="88">
        <f>IF(AC25 = 0,
0,
IF(AC23 = (AC$7+AD$7),1,0))</f>
        <v>0</v>
      </c>
      <c r="AD26" s="88">
        <f>IF(AD25 = 0,
0,
IF(AD23 = (AC$7+AD$7),1,0))</f>
        <v>0</v>
      </c>
      <c r="AE26" s="88">
        <f>IF(AE25 = 0,
0,
IF(AE23 = (AE$7+AF$7),1,0))</f>
        <v>0</v>
      </c>
      <c r="AF26" s="88">
        <f>IF(AF25 = 0,
0,
IF(AF23 = (AE$7+AF$7),1,0))</f>
        <v>0</v>
      </c>
      <c r="AG26" s="103"/>
      <c r="AH26" s="88">
        <f>IF(AH25 = 0,
0,
IF(AH23 = (AH$7+AI$7),1,0))</f>
        <v>0</v>
      </c>
      <c r="AI26" s="88">
        <f>IF(AI25 = 0,
0,
IF(AI23 = (AH$7+AI$7),1,0))</f>
        <v>0</v>
      </c>
      <c r="AJ26" s="103"/>
      <c r="AK26" s="104">
        <f>SUM(C26:AI26)</f>
        <v>0</v>
      </c>
      <c r="AL26" s="92"/>
    </row>
    <row r="27" spans="1:38" s="23" customFormat="1" ht="12.75" customHeight="1" thickBot="1" x14ac:dyDescent="0.25">
      <c r="A27" s="148">
        <f>RANK(AL27,$AL$11:$AL$33,)</f>
        <v>1</v>
      </c>
      <c r="B27" s="149" t="s">
        <v>67</v>
      </c>
      <c r="C27" s="161">
        <v>5</v>
      </c>
      <c r="D27" s="162"/>
      <c r="E27" s="165">
        <v>7</v>
      </c>
      <c r="F27" s="162"/>
      <c r="G27" s="163">
        <v>6</v>
      </c>
      <c r="H27" s="164"/>
      <c r="I27" s="165"/>
      <c r="J27" s="164">
        <v>6</v>
      </c>
      <c r="K27" s="166">
        <v>5</v>
      </c>
      <c r="L27" s="164"/>
      <c r="M27" s="165">
        <v>7</v>
      </c>
      <c r="N27" s="167"/>
      <c r="O27" s="165">
        <v>6</v>
      </c>
      <c r="P27" s="162"/>
      <c r="Q27" s="163">
        <v>7</v>
      </c>
      <c r="R27" s="168"/>
      <c r="S27" s="170">
        <f>SUM(C28:R28)</f>
        <v>0</v>
      </c>
      <c r="T27" s="161"/>
      <c r="U27" s="164"/>
      <c r="V27" s="165"/>
      <c r="W27" s="164"/>
      <c r="X27" s="166"/>
      <c r="Y27" s="162"/>
      <c r="Z27" s="163"/>
      <c r="AA27" s="168"/>
      <c r="AB27" s="170">
        <f>SUM(T28:AA28)</f>
        <v>0</v>
      </c>
      <c r="AC27" s="163"/>
      <c r="AD27" s="164"/>
      <c r="AE27" s="166"/>
      <c r="AF27" s="173"/>
      <c r="AG27" s="170">
        <f>SUM(AC28:AF28)</f>
        <v>0</v>
      </c>
      <c r="AH27" s="158"/>
      <c r="AI27" s="159"/>
      <c r="AJ27" s="170">
        <f>AH28</f>
        <v>0</v>
      </c>
      <c r="AK27" s="172">
        <f>MAX($AL$11:$AL$33) - AL27</f>
        <v>0</v>
      </c>
      <c r="AL27" s="188">
        <f>$S27+$AB27+$AG27+$AJ27</f>
        <v>0</v>
      </c>
    </row>
    <row r="28" spans="1:38" s="23" customFormat="1" ht="12.75" hidden="1" customHeight="1" x14ac:dyDescent="0.2">
      <c r="A28" s="87">
        <f>RANK(AL28,$AL$11:$AL$33,)</f>
        <v>1</v>
      </c>
      <c r="B28" s="67"/>
      <c r="C28" s="88">
        <f>(IF($C27&lt;&gt;"",($C$7*$O$40)+IF($C$7=4,($O$38)+IF($C27=$C$7+$D$7,$O$39,0),0),0)+IF($D27&lt;&gt;"",($D$7*$O$40)+IF($D$7=4,($O$38)+IF($D27=$C$7+$D$7,$O$39,0),0),0))</f>
        <v>0</v>
      </c>
      <c r="D28" s="105"/>
      <c r="E28" s="89">
        <f>(IF($E27&lt;&gt;"",($E$7*$O$40)+IF($E$7=4,($O$38)+IF($E27=$E$7+$F$7,$O$39,0),0),0)+IF($F27&lt;&gt;"",($F$7*$O$40)+IF($F$7=4,($O$38)+IF($F27=$E$7+$F$7,$O$39,0),0),0))</f>
        <v>0</v>
      </c>
      <c r="F28" s="105"/>
      <c r="G28" s="89">
        <f>(IF($G27&lt;&gt;"",($G$7*$O$40)+IF($G$7=4,($O$38)+IF($G27=$G$7+$H$7,$O$39,0),0),0)+IF($H27&lt;&gt;"",($H$7*$O$40)+IF($H$7=4,($O$38)+IF($H27=$G$7+$H$7,$O$39,0),0),0))</f>
        <v>0</v>
      </c>
      <c r="H28" s="105"/>
      <c r="I28" s="89">
        <f>(IF($I27&lt;&gt;"",($I$7*$O$40)+IF($I$7=4,($O$38)+IF($I27=$I$7+$J$7,$O$39,0),0),0)+IF($J27&lt;&gt;"",($J$7*$O$40)+IF($J$7=4,($O$38)+IF($J27=$I$7+$J$7,$O$39,0),0),0))</f>
        <v>0</v>
      </c>
      <c r="J28" s="106"/>
      <c r="K28" s="107">
        <f>(IF($K27&lt;&gt;"",($K$7*$O$40)+IF($K$7=4,($O$38)+IF($K27=$K$7+$L$7,$O$39,0),0),0)+IF($L27&lt;&gt;"",($L$7*$O$40)+IF($L$7=4,($O$38)+IF($L27=$K$7+$L$7,$O$39,0),0),0))</f>
        <v>0</v>
      </c>
      <c r="L28" s="105"/>
      <c r="M28" s="89">
        <f>(IF($M27&lt;&gt;"",($M$7*$O$40)+IF($M$7=4,($O$38)+IF($M27=$M$7+$N$7,$O$39,0),0),0)+IF($N27&lt;&gt;"",($N$7*$O$40)+IF($N$7=4,($O$38)+IF($N27=$M$7+$N$7,$O$39,0),0),0))</f>
        <v>0</v>
      </c>
      <c r="N28" s="105"/>
      <c r="O28" s="89">
        <f>(IF($O27&lt;&gt;"",($O$7*$O$40)+IF($O$7=4,($O$38)+IF($O27=$O$7+$P$7,$O$39,0),0),0)+IF($P27&lt;&gt;"",($P$7*$O$40)+IF($P$7=4,($O$38)+IF($P27=$O$7+$P$7,$O$39,0),0),0))</f>
        <v>0</v>
      </c>
      <c r="P28" s="105"/>
      <c r="Q28" s="89">
        <f>(IF($Q27&lt;&gt;"",($Q$7*$O$40)+IF($Q$7=4,($O$38)+IF($Q27=$Q$7+$R$7,$O$39,0),0),0)+IF($R27&lt;&gt;"",($R$7*$O$40)+IF($R$7=4,($O$38)+IF($R27=$Q$7+$R$7,$O$39,0),0),0))</f>
        <v>0</v>
      </c>
      <c r="R28" s="108"/>
      <c r="S28" s="109"/>
      <c r="T28" s="95">
        <f>(IF($T27&lt;&gt;"",($T$7*$P$40)+IF($T$7=4,($P$38)+IF($T27=$T$7+$U$7,$P$39,0),0),0)+IF($U27&lt;&gt;"",($U$7*$P$40)+IF($U$7=4,($P$38)+IF($U27=$T$7+$U$7,$P$39,0),0),0))</f>
        <v>0</v>
      </c>
      <c r="U28" s="95"/>
      <c r="V28" s="95">
        <f>(IF($V27&lt;&gt;"",($V$7*$P$40)+IF($V$7=4,($P$38)+IF($V27=$V$7+$W$7,$P$39,0),0),0)+IF($W27&lt;&gt;"",($W$7*$P$40)+IF($W$7=4,($P$38)+IF($W27=$V$7+$W$7,$P$39,0),0),0))</f>
        <v>0</v>
      </c>
      <c r="W28" s="95"/>
      <c r="X28" s="95">
        <f>(IF($X27&lt;&gt;"",($X$7*$P$40)+IF($X$7=4,($P$38)+IF($X27=$X$7+$Y$7,$P$39,0),0),0)+IF($Y27&lt;&gt;"",($Y$7*$P$40)+IF($Y$7=4,($P$38)+IF($Y27=$X$7+$Y$7,$P$39,0),0),0))</f>
        <v>0</v>
      </c>
      <c r="Y28" s="49"/>
      <c r="Z28" s="102">
        <f>(IF($Z27&lt;&gt;"",($Z$7*$P$40)+IF($Z$7=4,($P$38)+IF($Z27=$Z$7+$AA$7,$P$39,0),0),0)+IF($AA27&lt;&gt;"",($AA$7*$P$40)+IF($AA$7=4,($P$38)+IF($AA27=$Z$7+$AA$7,$P$39,0),0),0))</f>
        <v>0</v>
      </c>
      <c r="AA28" s="50"/>
      <c r="AB28" s="114"/>
      <c r="AC28" s="95">
        <f>(IF($AC27&lt;&gt;"",($AC$7*$Q$40)+IF($AC$7=4,($Q$38)+IF($AC27=$AC$7+$AD$7,$Q$39,0),0),0)+IF($AD27&lt;&gt;"",($AD$7*$Q$40)+IF($AD$7=4,($Q$38)+IF($AD27=$AC$7+$AD$7,$Q$39,0),0),0))</f>
        <v>0</v>
      </c>
      <c r="AD28" s="95"/>
      <c r="AE28" s="95">
        <f>(IF($AE27&lt;&gt;"",($AE$7*$Q$40)+IF($AE$7=4,($Q$38)+IF($AE27=$AE$7+$AF$7,$Q$39,0),0),0)+IF($AF27&lt;&gt;"",($AF$7*$Q$40)+IF($AF$7=4,($Q$38)+IF($AF27=$AE$7+$AF$7,$Q$39,0),0),0))</f>
        <v>0</v>
      </c>
      <c r="AF28" s="66"/>
      <c r="AG28" s="114"/>
      <c r="AH28" s="95">
        <f>(IF($AH27&lt;&gt;"",($AH$7*$Q$40)+IF($AH$7=4,($R$38)+IF($AH27=$AH$7+$AI$7,$R$39,0),0),0)+IF($AI27&lt;&gt;"",($AI$7*$R$40)+IF($AI$7=4,($R$38)+IF($AI27=$AH$7+$AI$7,$R$39,0),0),0))</f>
        <v>0</v>
      </c>
      <c r="AI28" s="101"/>
      <c r="AJ28" s="109"/>
      <c r="AK28" s="36">
        <f>MAX($AL$11:$AL$33) - AL28</f>
        <v>0</v>
      </c>
      <c r="AL28" s="90"/>
    </row>
    <row r="29" spans="1:38" s="23" customFormat="1" hidden="1" x14ac:dyDescent="0.2">
      <c r="A29" s="74"/>
      <c r="B29" s="93"/>
      <c r="C29" s="88">
        <f>IF(ISBLANK(C27),
0,
IF(C$7= 4, 1, 0))</f>
        <v>0</v>
      </c>
      <c r="D29" s="88">
        <f>IF(ISBLANK(D27),
0,
IF(D$7 = 4, 1, 0))</f>
        <v>0</v>
      </c>
      <c r="E29" s="88">
        <f>IF(ISBLANK(E27),
0,
IF(E$7= 4, 1, 0))</f>
        <v>0</v>
      </c>
      <c r="F29" s="88">
        <f>IF(ISBLANK(F27),
0,
IF(F$7 = 4, 1, 0))</f>
        <v>0</v>
      </c>
      <c r="G29" s="88">
        <f>IF(ISBLANK(G27),
0,
IF(G$7= 4, 1, 0))</f>
        <v>0</v>
      </c>
      <c r="H29" s="88">
        <f>IF(ISBLANK(H27),
0,
IF(H$7 = 4, 1, 0))</f>
        <v>0</v>
      </c>
      <c r="I29" s="88">
        <f>IF(ISBLANK(I27),
0,
IF(I$7= 4, 1, 0))</f>
        <v>0</v>
      </c>
      <c r="J29" s="88">
        <f>IF(ISBLANK(J27),
0,
IF(J$7 = 4, 1, 0))</f>
        <v>0</v>
      </c>
      <c r="K29" s="88">
        <f>IF(ISBLANK(K27),
0,
IF(K$7= 4, 1, 0))</f>
        <v>0</v>
      </c>
      <c r="L29" s="88">
        <f>IF(ISBLANK(L27),
0,
IF(L$7 = 4, 1, 0))</f>
        <v>0</v>
      </c>
      <c r="M29" s="88">
        <f>IF(ISBLANK(M27),
0,
IF(M$7= 4, 1, 0))</f>
        <v>0</v>
      </c>
      <c r="N29" s="88">
        <f>IF(ISBLANK(N27),
0,
IF(N$7 = 4, 1, 0))</f>
        <v>0</v>
      </c>
      <c r="O29" s="88">
        <f>IF(ISBLANK(O27),
0,
IF(O$7= 4, 1, 0))</f>
        <v>0</v>
      </c>
      <c r="P29" s="88">
        <f>IF(ISBLANK(P27),
0,
IF(P$7 = 4, 1, 0))</f>
        <v>0</v>
      </c>
      <c r="Q29" s="88">
        <f>IF(ISBLANK(Q27),
0,
IF(Q$7= 4, 1, 0))</f>
        <v>0</v>
      </c>
      <c r="R29" s="88">
        <f>IF(ISBLANK(R27),
0,
IF(R$7 = 4, 1, 0))</f>
        <v>0</v>
      </c>
      <c r="S29" s="103"/>
      <c r="T29" s="88">
        <f>IF(ISBLANK(T27),
0,
IF(T$7= 4, 1, 0))</f>
        <v>0</v>
      </c>
      <c r="U29" s="88">
        <f>IF(ISBLANK(U27),
0,
IF(U$7 = 4, 1, 0))</f>
        <v>0</v>
      </c>
      <c r="V29" s="88">
        <f>IF(ISBLANK(V27),
0,
IF(V$7= 4, 1, 0))</f>
        <v>0</v>
      </c>
      <c r="W29" s="88">
        <f>IF(ISBLANK(W27),
0,
IF(W$7 = 4, 1, 0))</f>
        <v>0</v>
      </c>
      <c r="X29" s="88">
        <f>IF(ISBLANK(X27),
0,
IF(X$7= 4, 1, 0))</f>
        <v>0</v>
      </c>
      <c r="Y29" s="88">
        <f>IF(ISBLANK(Y27),
0,
IF(Y$7 = 4, 1, 0))</f>
        <v>0</v>
      </c>
      <c r="Z29" s="102">
        <f>IF(ISBLANK(Z27),
0,
IF(Z$7= 4, 1, 0))</f>
        <v>0</v>
      </c>
      <c r="AA29" s="88">
        <f>IF(ISBLANK(AA27),
0,
IF(AA$7 = 4, 1, 0))</f>
        <v>0</v>
      </c>
      <c r="AB29" s="103"/>
      <c r="AC29" s="88">
        <f>IF(ISBLANK(AC27),
0,
IF(AC$7= 4, 1, 0))</f>
        <v>0</v>
      </c>
      <c r="AD29" s="88">
        <f>IF(ISBLANK(AD27),
0,
IF(AD$7 = 4, 1, 0))</f>
        <v>0</v>
      </c>
      <c r="AE29" s="88">
        <f>IF(ISBLANK(AE27),
0,
IF(AE$7= 4, 1, 0))</f>
        <v>0</v>
      </c>
      <c r="AF29" s="88">
        <f>IF(ISBLANK(AF27),
0,
IF(AF$7 = 4, 1, 0))</f>
        <v>0</v>
      </c>
      <c r="AG29" s="103"/>
      <c r="AH29" s="88">
        <f>IF(ISBLANK(AH27),
0,
IF(AH$7= 4, 1, 0))</f>
        <v>0</v>
      </c>
      <c r="AI29" s="88">
        <f>IF(ISBLANK(AI27),
0,
IF(AI$7 = 4, 1, 0))</f>
        <v>0</v>
      </c>
      <c r="AJ29" s="103"/>
      <c r="AK29" s="104">
        <f>SUM(C29:AI29)</f>
        <v>0</v>
      </c>
      <c r="AL29" s="92"/>
    </row>
    <row r="30" spans="1:38" s="23" customFormat="1" hidden="1" x14ac:dyDescent="0.2">
      <c r="A30" s="74"/>
      <c r="B30" s="93"/>
      <c r="C30" s="88">
        <f>IF(C29 = 0,
0,
IF(C27 = (C$7+D$7),1,0))</f>
        <v>0</v>
      </c>
      <c r="D30" s="88">
        <f>IF(D29 = 0,
0,
IF(D27 = (C$7+D$7),1,0))</f>
        <v>0</v>
      </c>
      <c r="E30" s="88">
        <f>IF(E29 = 0,
0,
IF(E27 = (E$7+F$7),1,0))</f>
        <v>0</v>
      </c>
      <c r="F30" s="88">
        <f>IF(F29 = 0,
0,
IF(F27 = (E$7+F$7),1,0))</f>
        <v>0</v>
      </c>
      <c r="G30" s="88">
        <f>IF(G29 = 0,
0,
IF(G27 = (G$7+H$7),1,0))</f>
        <v>0</v>
      </c>
      <c r="H30" s="88">
        <f>IF(H29 = 0,
0,
IF(H27 = (G$7+H$7),1,0))</f>
        <v>0</v>
      </c>
      <c r="I30" s="88">
        <f>IF(I29 = 0,
0,
IF(I27 = (I$7+J$7),1,0))</f>
        <v>0</v>
      </c>
      <c r="J30" s="88">
        <f>IF(J29 = 0,
0,
IF(J27 = (I$7+J$7),1,0))</f>
        <v>0</v>
      </c>
      <c r="K30" s="88">
        <f>IF(K29 = 0,
0,
IF(K27 = (K$7+L$7),1,0))</f>
        <v>0</v>
      </c>
      <c r="L30" s="88">
        <f>IF(L29 = 0,
0,
IF(L27 = (K$7+L$7),1,0))</f>
        <v>0</v>
      </c>
      <c r="M30" s="88">
        <f>IF(M29 = 0,
0,
IF(M27 = (M$7+N$7),1,0))</f>
        <v>0</v>
      </c>
      <c r="N30" s="88">
        <f>IF(N29 = 0,
0,
IF(N27 = (M$7+N$7),1,0))</f>
        <v>0</v>
      </c>
      <c r="O30" s="88">
        <f>IF(O29 = 0,
0,
IF(O27 = (O$7+P$7),1,0))</f>
        <v>0</v>
      </c>
      <c r="P30" s="88">
        <f>IF(P29 = 0,
0,
IF(P27 = (O$7+P$7),1,0))</f>
        <v>0</v>
      </c>
      <c r="Q30" s="88">
        <f>IF(Q29 = 0,
0,
IF(Q27 = (Q$7+R$7),1,0))</f>
        <v>0</v>
      </c>
      <c r="R30" s="88">
        <f>IF(R29 = 0,
0,
IF(R27 = (Q$7+R$7),1,0))</f>
        <v>0</v>
      </c>
      <c r="S30" s="103"/>
      <c r="T30" s="88">
        <f>IF(T29 = 0,
0,
IF(T27 = (T$7+U$7),1,0))</f>
        <v>0</v>
      </c>
      <c r="U30" s="88">
        <f>IF(U29 = 0,
0,
IF(U27 = (T$7+U$7),1,0))</f>
        <v>0</v>
      </c>
      <c r="V30" s="88">
        <f>IF(V29 = 0,
0,
IF(V27 = (V$7+W$7),1,0))</f>
        <v>0</v>
      </c>
      <c r="W30" s="88">
        <f>IF(W29 = 0,
0,
IF(W27 = (V$7+W$7),1,0))</f>
        <v>0</v>
      </c>
      <c r="X30" s="88">
        <f>IF(X29 = 0,
0,
IF(X27 = (X$7+Y$7),1,0))</f>
        <v>0</v>
      </c>
      <c r="Y30" s="88">
        <f>IF(Y29 = 0,
0,
IF(Y27 = (X$7+Y$7),1,0))</f>
        <v>0</v>
      </c>
      <c r="Z30" s="102">
        <f>IF(Z29 = 0,
0,
IF(Z27 = (Z$7+AA$7),1,0))</f>
        <v>0</v>
      </c>
      <c r="AA30" s="88">
        <f>IF(AA29 = 0,
0,
IF(AA27 = (Z$7+AA$7),1,0))</f>
        <v>0</v>
      </c>
      <c r="AB30" s="103"/>
      <c r="AC30" s="88">
        <f>IF(AC29 = 0,
0,
IF(AC27 = (AC$7+AD$7),1,0))</f>
        <v>0</v>
      </c>
      <c r="AD30" s="88">
        <f>IF(AD29 = 0,
0,
IF(AD27 = (AC$7+AD$7),1,0))</f>
        <v>0</v>
      </c>
      <c r="AE30" s="88">
        <f>IF(AE29 = 0,
0,
IF(AE27 = (AE$7+AF$7),1,0))</f>
        <v>0</v>
      </c>
      <c r="AF30" s="88">
        <f>IF(AF29 = 0,
0,
IF(AF27 = (AE$7+AF$7),1,0))</f>
        <v>0</v>
      </c>
      <c r="AG30" s="103"/>
      <c r="AH30" s="88">
        <f>IF(AH29 = 0,
0,
IF(AH27 = (AH$7+AI$7),1,0))</f>
        <v>0</v>
      </c>
      <c r="AI30" s="88">
        <f>IF(AI29 = 0,
0,
IF(AI27 = (AH$7+AI$7),1,0))</f>
        <v>0</v>
      </c>
      <c r="AJ30" s="103"/>
      <c r="AK30" s="104">
        <f>SUM(C30:AI30)</f>
        <v>0</v>
      </c>
      <c r="AL30" s="92"/>
    </row>
    <row r="31" spans="1:38" s="23" customFormat="1" hidden="1" x14ac:dyDescent="0.2">
      <c r="A31" s="87">
        <f>RANK(AL31,$AL$11:$AL$33,)</f>
        <v>1</v>
      </c>
      <c r="B31" s="73"/>
      <c r="C31" s="95" t="e">
        <f>(IF(#REF!&lt;&gt;"",($C$7*$O$40)+IF($C$7=4,($O$38)+IF(#REF!=$C$7+$D$7,$O$39,0),0),0)+IF(#REF!&lt;&gt;"",($D$7*$O$40)+IF($D$7=4,($O$38)+IF(#REF!=$C$7+$D$7,$O$39,0),0),0))</f>
        <v>#REF!</v>
      </c>
      <c r="D31" s="96"/>
      <c r="E31" s="94" t="e">
        <f>(IF(#REF!&lt;&gt;"",($E$7*$O$40)+IF($E$7=4,($O$38)+IF(#REF!=$E$7+$F$7,$O$39,0),0),0)+IF(#REF!&lt;&gt;"",($F$7*$O$40)+IF($F$7=4,($O$38)+IF(#REF!=$E$7+$F$7,$O$39,0),0),0))</f>
        <v>#REF!</v>
      </c>
      <c r="F31" s="96"/>
      <c r="G31" s="94" t="e">
        <f>(IF(#REF!&lt;&gt;"",($G$7*$O$40)+IF($G$7=4,($O$38)+IF(#REF!=$G$7+$H$7,$O$39,0),0),0)+IF(#REF!&lt;&gt;"",($H$7*$O$40)+IF($H$7=4,($O$38)+IF(#REF!=$G$7+$H$7,$O$39,0),0),0))</f>
        <v>#REF!</v>
      </c>
      <c r="H31" s="96"/>
      <c r="I31" s="97" t="e">
        <f>(IF(#REF!&lt;&gt;"",($I$7*$O$40)+IF($I$7=4,($O$38)+IF(#REF!=$I$7+$J$7,$O$39,0),0),0)+IF(#REF!&lt;&gt;"",($J$7*$O$40)+IF($J$7=4,($O$38)+IF(#REF!=$I$7+$J$7,$O$39,0),0),0))</f>
        <v>#REF!</v>
      </c>
      <c r="J31" s="98"/>
      <c r="K31" s="99" t="e">
        <f>(IF(#REF!&lt;&gt;"",($K$7*$O$40)+IF($K$7=4,($O$38)+IF(#REF!=$K$7+$L$7,$O$39,0),0),0)+IF(#REF!&lt;&gt;"",($L$7*$O$40)+IF($L$7=4,($O$38)+IF(#REF!=$K$7+$L$7,$O$39,0),0),0))</f>
        <v>#REF!</v>
      </c>
      <c r="L31" s="96"/>
      <c r="M31" s="94" t="e">
        <f>(IF(#REF!&lt;&gt;"",($M$7*$O$40)+IF($M$7=4,($O$38)+IF(#REF!=$M$7+$N$7,$O$39,0),0),0)+IF(#REF!&lt;&gt;"",($N$7*$O$40)+IF($N$7=4,($O$38)+IF(#REF!=$M$7+$N$7,$O$39,0),0),0))</f>
        <v>#REF!</v>
      </c>
      <c r="N31" s="96"/>
      <c r="O31" s="97" t="e">
        <f>(IF(#REF!&lt;&gt;"",($O$7*$O$40)+IF($O$7=4,($O$38)+IF(#REF!=$O$7+$P$7,$O$39,0),0),0)+IF(#REF!&lt;&gt;"",($P$7*$O$40)+IF($P$7=4,($O$38)+IF(#REF!=$O$7+$P$7,$O$39,0),0),0))</f>
        <v>#REF!</v>
      </c>
      <c r="P31" s="96"/>
      <c r="Q31" s="97" t="e">
        <f>(IF(#REF!&lt;&gt;"",($Q$7*$O$40)+IF($Q$7=4,($O$38)+IF(#REF!=$Q$7+$R$7,$O$39,0),0),0)+IF(#REF!&lt;&gt;"",($R$7*$O$40)+IF($R$7=4,($O$38)+IF(#REF!=$Q$7+$R$7,$O$39,0),0),0))</f>
        <v>#REF!</v>
      </c>
      <c r="R31" s="100"/>
      <c r="S31" s="90"/>
      <c r="T31" s="95" t="e">
        <f>(IF(#REF!&lt;&gt;"",($T$7*$P$40)+IF($T$7=4,($P$38)+IF(#REF!=$T$7+$U$7,$P$39,0),0),0)+IF(#REF!&lt;&gt;"",($U$7*$P$40)+IF($U$7=4,($P$38)+IF(#REF!=$T$7+$U$7,$P$39,0),0),0))</f>
        <v>#REF!</v>
      </c>
      <c r="U31" s="95"/>
      <c r="V31" s="95" t="e">
        <f>(IF(#REF!&lt;&gt;"",($V$7*$P$40)+IF($V$7=4,($P$38)+IF(#REF!=$V$7+$W$7,$P$39,0),0),0)+IF(#REF!&lt;&gt;"",($W$7*$P$40)+IF($W$7=4,($P$38)+IF(#REF!=$V$7+$W$7,$P$39,0),0),0))</f>
        <v>#REF!</v>
      </c>
      <c r="W31" s="95"/>
      <c r="X31" s="95" t="e">
        <f>(IF(#REF!&lt;&gt;"",($X$7*$P$40)+IF($X$7=4,($P$38)+IF(#REF!=$X$7+$Y$7,$P$39,0),0),0)+IF(#REF!&lt;&gt;"",($Y$7*$P$40)+IF($Y$7=4,($P$38)+IF(#REF!=$X$7+$Y$7,$P$39,0),0),0))</f>
        <v>#REF!</v>
      </c>
      <c r="Y31" s="49"/>
      <c r="Z31" s="95" t="e">
        <f>(IF(#REF!&lt;&gt;"",($Z$7*$P$40)+IF($Z$7=4,($P$38)+IF(#REF!=$Z$7+$AA$7,$P$39,0),0),0)+IF(#REF!&lt;&gt;"",($AA$7*$P$40)+IF($AA$7=4,($P$38)+IF(#REF!=$Z$7+$AA$7,$P$39,0),0),0))</f>
        <v>#REF!</v>
      </c>
      <c r="AA31" s="50"/>
      <c r="AB31" s="90"/>
      <c r="AC31" s="95" t="e">
        <f>(IF(#REF!&lt;&gt;"",($AC$7*$Q$40)+IF($AC$7=4,($Q$38)+IF(#REF!=$AC$7+$AD$7,$Q$39,0),0),0)+IF(#REF!&lt;&gt;"",($AD$7*$Q$40)+IF($AD$7=4,($Q$38)+IF(#REF!=$AC$7+$AD$7,$Q$39,0),0),0))</f>
        <v>#REF!</v>
      </c>
      <c r="AD31" s="95"/>
      <c r="AE31" s="95" t="e">
        <f>(IF(#REF!&lt;&gt;"",($AE$7*$Q$40)+IF($AE$7=4,($Q$38)+IF(#REF!=$AE$7+$AF$7,$Q$39,0),0),0)+IF(#REF!&lt;&gt;"",($AF$7*$Q$40)+IF($AF$7=4,($Q$38)+IF(#REF!=$AE$7+$AF$7,$Q$39,0),0),0))</f>
        <v>#REF!</v>
      </c>
      <c r="AF31" s="66"/>
      <c r="AG31" s="90"/>
      <c r="AH31" s="95" t="e">
        <f>(IF(#REF!&lt;&gt;"",($AH$7*$Q$40)+IF($AH$7=4,($R$38)+IF(#REF!=$AH$7+$AI$7,$R$39,0),0),0)+IF(#REF!&lt;&gt;"",($AI$7*$R$40)+IF($AI$7=4,($R$38)+IF(#REF!=$AH$7+$AI$7,$R$39,0),0),0))</f>
        <v>#REF!</v>
      </c>
      <c r="AI31" s="101"/>
      <c r="AJ31" s="90"/>
      <c r="AL31" s="90"/>
    </row>
    <row r="32" spans="1:38" s="23" customFormat="1" hidden="1" x14ac:dyDescent="0.2">
      <c r="A32" s="74"/>
      <c r="B32" s="93" t="s">
        <v>47</v>
      </c>
      <c r="C32" s="88">
        <f>IF(ISBLANK(#REF!),
0,
IF(C$7= 4, 1, 0))</f>
        <v>0</v>
      </c>
      <c r="D32" s="88">
        <f>IF(ISBLANK(#REF!),
0,
IF(D$7 = 4, 1, 0))</f>
        <v>0</v>
      </c>
      <c r="E32" s="88">
        <f>IF(ISBLANK(#REF!),
0,
IF(E$7= 4, 1, 0))</f>
        <v>0</v>
      </c>
      <c r="F32" s="88">
        <f>IF(ISBLANK(#REF!),
0,
IF(F$7 = 4, 1, 0))</f>
        <v>0</v>
      </c>
      <c r="G32" s="88">
        <f>IF(ISBLANK(#REF!),
0,
IF(G$7= 4, 1, 0))</f>
        <v>0</v>
      </c>
      <c r="H32" s="88">
        <f>IF(ISBLANK(#REF!),
0,
IF(H$7 = 4, 1, 0))</f>
        <v>0</v>
      </c>
      <c r="I32" s="88">
        <f>IF(ISBLANK(#REF!),
0,
IF(I$7= 4, 1, 0))</f>
        <v>0</v>
      </c>
      <c r="J32" s="88">
        <f>IF(ISBLANK(#REF!),
0,
IF(J$7 = 4, 1, 0))</f>
        <v>0</v>
      </c>
      <c r="K32" s="88">
        <f>IF(ISBLANK(#REF!),
0,
IF(K$7= 4, 1, 0))</f>
        <v>0</v>
      </c>
      <c r="L32" s="88">
        <f>IF(ISBLANK(#REF!),
0,
IF(L$7 = 4, 1, 0))</f>
        <v>0</v>
      </c>
      <c r="M32" s="88">
        <f>IF(ISBLANK(#REF!),
0,
IF(M$7= 4, 1, 0))</f>
        <v>0</v>
      </c>
      <c r="N32" s="88">
        <f>IF(ISBLANK(#REF!),
0,
IF(N$7 = 4, 1, 0))</f>
        <v>0</v>
      </c>
      <c r="O32" s="88">
        <f>IF(ISBLANK(#REF!),
0,
IF(O$7= 4, 1, 0))</f>
        <v>0</v>
      </c>
      <c r="P32" s="88">
        <f>IF(ISBLANK(#REF!),
0,
IF(P$7 = 4, 1, 0))</f>
        <v>0</v>
      </c>
      <c r="Q32" s="88">
        <f>IF(ISBLANK(#REF!),
0,
IF(Q$7= 4, 1, 0))</f>
        <v>0</v>
      </c>
      <c r="R32" s="88">
        <f>IF(ISBLANK(#REF!),
0,
IF(R$7 = 4, 1, 0))</f>
        <v>0</v>
      </c>
      <c r="S32" s="103"/>
      <c r="T32" s="88">
        <f>IF(ISBLANK(#REF!),
0,
IF(T$7= 4, 1, 0))</f>
        <v>0</v>
      </c>
      <c r="U32" s="88">
        <f>IF(ISBLANK(#REF!),
0,
IF(U$7 = 4, 1, 0))</f>
        <v>0</v>
      </c>
      <c r="V32" s="88">
        <f>IF(ISBLANK(#REF!),
0,
IF(V$7= 4, 1, 0))</f>
        <v>0</v>
      </c>
      <c r="W32" s="88">
        <f>IF(ISBLANK(#REF!),
0,
IF(W$7 = 4, 1, 0))</f>
        <v>0</v>
      </c>
      <c r="X32" s="88">
        <f>IF(ISBLANK(#REF!),
0,
IF(X$7= 4, 1, 0))</f>
        <v>0</v>
      </c>
      <c r="Y32" s="88">
        <f>IF(ISBLANK(#REF!),
0,
IF(Y$7 = 4, 1, 0))</f>
        <v>0</v>
      </c>
      <c r="Z32" s="88">
        <f>IF(ISBLANK(#REF!),
0,
IF(Z$7= 4, 1, 0))</f>
        <v>0</v>
      </c>
      <c r="AA32" s="88">
        <f>IF(ISBLANK(#REF!),
0,
IF(AA$7 = 4, 1, 0))</f>
        <v>0</v>
      </c>
      <c r="AB32" s="103"/>
      <c r="AC32" s="88">
        <f>IF(ISBLANK(#REF!),
0,
IF(AC$7= 4, 1, 0))</f>
        <v>0</v>
      </c>
      <c r="AD32" s="88">
        <f>IF(ISBLANK(#REF!),
0,
IF(AD$7 = 4, 1, 0))</f>
        <v>0</v>
      </c>
      <c r="AE32" s="88">
        <f>IF(ISBLANK(#REF!),
0,
IF(AE$7= 4, 1, 0))</f>
        <v>0</v>
      </c>
      <c r="AF32" s="88">
        <f>IF(ISBLANK(#REF!),
0,
IF(AF$7 = 4, 1, 0))</f>
        <v>0</v>
      </c>
      <c r="AG32" s="103"/>
      <c r="AH32" s="88">
        <f>IF(ISBLANK(#REF!),
0,
IF(AH$7= 4, 1, 0))</f>
        <v>0</v>
      </c>
      <c r="AI32" s="88">
        <f>IF(ISBLANK(#REF!),
0,
IF(AI$7 = 4, 1, 0))</f>
        <v>0</v>
      </c>
      <c r="AJ32" s="103"/>
      <c r="AK32" s="104">
        <f>SUM(C32:AI32)</f>
        <v>0</v>
      </c>
      <c r="AL32" s="92"/>
    </row>
    <row r="33" spans="1:38" s="23" customFormat="1" ht="13.5" hidden="1" thickBot="1" x14ac:dyDescent="0.25">
      <c r="A33" s="74"/>
      <c r="B33" s="93" t="s">
        <v>48</v>
      </c>
      <c r="C33" s="88">
        <f>IF(C32 = 0,
0,
IF(#REF! = (C$7+D$7),1,0))</f>
        <v>0</v>
      </c>
      <c r="D33" s="88">
        <f>IF(D32 = 0,
0,
IF(#REF! = (C$7+D$7),1,0))</f>
        <v>0</v>
      </c>
      <c r="E33" s="88">
        <f>IF(E32 = 0,
0,
IF(#REF! = (E$7+F$7),1,0))</f>
        <v>0</v>
      </c>
      <c r="F33" s="88">
        <f>IF(F32 = 0,
0,
IF(#REF! = (E$7+F$7),1,0))</f>
        <v>0</v>
      </c>
      <c r="G33" s="88">
        <f>IF(G32 = 0,
0,
IF(#REF! = (G$7+H$7),1,0))</f>
        <v>0</v>
      </c>
      <c r="H33" s="88">
        <f>IF(H32 = 0,
0,
IF(#REF! = (G$7+H$7),1,0))</f>
        <v>0</v>
      </c>
      <c r="I33" s="88">
        <f>IF(I32 = 0,
0,
IF(#REF! = (I$7+J$7),1,0))</f>
        <v>0</v>
      </c>
      <c r="J33" s="88">
        <f>IF(J32 = 0,
0,
IF(#REF! = (I$7+J$7),1,0))</f>
        <v>0</v>
      </c>
      <c r="K33" s="88">
        <f>IF(K32 = 0,
0,
IF(#REF! = (K$7+L$7),1,0))</f>
        <v>0</v>
      </c>
      <c r="L33" s="88">
        <f>IF(L32 = 0,
0,
IF(#REF! = (K$7+L$7),1,0))</f>
        <v>0</v>
      </c>
      <c r="M33" s="88">
        <f>IF(M32 = 0,
0,
IF(#REF! = (M$7+N$7),1,0))</f>
        <v>0</v>
      </c>
      <c r="N33" s="88">
        <f>IF(N32 = 0,
0,
IF(#REF! = (M$7+N$7),1,0))</f>
        <v>0</v>
      </c>
      <c r="O33" s="88">
        <f>IF(O32 = 0,
0,
IF(#REF! = (O$7+P$7),1,0))</f>
        <v>0</v>
      </c>
      <c r="P33" s="88">
        <f>IF(P32 = 0,
0,
IF(#REF! = (O$7+P$7),1,0))</f>
        <v>0</v>
      </c>
      <c r="Q33" s="88">
        <f>IF(Q32 = 0,
0,
IF(#REF! = (Q$7+R$7),1,0))</f>
        <v>0</v>
      </c>
      <c r="R33" s="88">
        <f>IF(R32 = 0,
0,
IF(#REF! = (Q$7+R$7),1,0))</f>
        <v>0</v>
      </c>
      <c r="S33" s="103"/>
      <c r="T33" s="88">
        <f>IF(T32 = 0,
0,
IF(#REF! = (T$7+U$7),1,0))</f>
        <v>0</v>
      </c>
      <c r="U33" s="88">
        <f>IF(U32 = 0,
0,
IF(#REF! = (T$7+U$7),1,0))</f>
        <v>0</v>
      </c>
      <c r="V33" s="88">
        <f>IF(V32 = 0,
0,
IF(#REF! = (V$7+W$7),1,0))</f>
        <v>0</v>
      </c>
      <c r="W33" s="88">
        <f>IF(W32 = 0,
0,
IF(#REF! = (V$7+W$7),1,0))</f>
        <v>0</v>
      </c>
      <c r="X33" s="88">
        <f>IF(X32 = 0,
0,
IF(#REF! = (X$7+Y$7),1,0))</f>
        <v>0</v>
      </c>
      <c r="Y33" s="88">
        <f>IF(Y32 = 0,
0,
IF(#REF! = (X$7+Y$7),1,0))</f>
        <v>0</v>
      </c>
      <c r="Z33" s="88">
        <f>IF(Z32 = 0,
0,
IF(#REF! = (Z$7+AA$7),1,0))</f>
        <v>0</v>
      </c>
      <c r="AA33" s="88">
        <f>IF(AA32 = 0,
0,
IF(#REF! = (Z$7+AA$7),1,0))</f>
        <v>0</v>
      </c>
      <c r="AB33" s="103"/>
      <c r="AC33" s="88">
        <f>IF(AC32 = 0,
0,
IF(#REF! = (AC$7+AD$7),1,0))</f>
        <v>0</v>
      </c>
      <c r="AD33" s="88">
        <f>IF(AD32 = 0,
0,
IF(#REF! = (AC$7+AD$7),1,0))</f>
        <v>0</v>
      </c>
      <c r="AE33" s="88">
        <f>IF(AE32 = 0,
0,
IF(#REF! = (AE$7+AF$7),1,0))</f>
        <v>0</v>
      </c>
      <c r="AF33" s="88">
        <f>IF(AF32 = 0,
0,
IF(#REF! = (AE$7+AF$7),1,0))</f>
        <v>0</v>
      </c>
      <c r="AG33" s="103"/>
      <c r="AH33" s="88">
        <f>IF(AH32 = 0,
0,
IF(#REF! = (AH$7+AI$7),1,0))</f>
        <v>0</v>
      </c>
      <c r="AI33" s="88">
        <f>IF(AI32 = 0,
0,
IF(#REF! = (AH$7+AI$7),1,0))</f>
        <v>0</v>
      </c>
      <c r="AJ33" s="103"/>
      <c r="AK33" s="104">
        <f>SUM(C33:AI33)</f>
        <v>0</v>
      </c>
      <c r="AL33" s="137"/>
    </row>
    <row r="34" spans="1:38" ht="12.75" customHeight="1" thickBot="1" x14ac:dyDescent="0.25">
      <c r="A34" s="51"/>
      <c r="B34" s="45"/>
      <c r="C34" s="140">
        <f xml:space="preserve"> COUNT(C11,C15,C19,C23,C27,#REF!,#REF!,#REF!,#REF!,#REF!,#REF!,#REF!,#REF!,#REF!,#REF!,#REF!,#REF!,#REF!,#REF!,#REF!,#REF!,#REF!)</f>
        <v>4</v>
      </c>
      <c r="D34" s="138">
        <f xml:space="preserve"> COUNT(D11,D15,D19,D23,D27,#REF!,#REF!,#REF!,#REF!,#REF!,#REF!,#REF!,#REF!,#REF!,#REF!,#REF!,#REF!,#REF!,#REF!,#REF!,#REF!,#REF!)</f>
        <v>1</v>
      </c>
      <c r="E34" s="140">
        <f xml:space="preserve"> COUNT(E11,E15,E19,E23,E27,#REF!,#REF!,#REF!,#REF!,#REF!,#REF!,#REF!,#REF!,#REF!,#REF!,#REF!,#REF!,#REF!,#REF!,#REF!,#REF!,#REF!)</f>
        <v>3</v>
      </c>
      <c r="F34" s="138">
        <f xml:space="preserve"> COUNT(F11,F15,F19,F23,F27,#REF!,#REF!,#REF!,#REF!,#REF!,#REF!,#REF!,#REF!,#REF!,#REF!,#REF!,#REF!,#REF!,#REF!,#REF!,#REF!,#REF!)</f>
        <v>2</v>
      </c>
      <c r="G34" s="140">
        <f xml:space="preserve"> COUNT(G11,G15,G19,G23,G27,#REF!,#REF!,#REF!,#REF!,#REF!,#REF!,#REF!,#REF!,#REF!,#REF!,#REF!,#REF!,#REF!,#REF!,#REF!,#REF!,#REF!)</f>
        <v>4</v>
      </c>
      <c r="H34" s="138">
        <f xml:space="preserve"> COUNT(H11,H15,H19,H23,H27,#REF!,#REF!,#REF!,#REF!,#REF!,#REF!,#REF!,#REF!,#REF!,#REF!,#REF!,#REF!,#REF!,#REF!,#REF!,#REF!,#REF!)</f>
        <v>1</v>
      </c>
      <c r="I34" s="140">
        <f xml:space="preserve"> COUNT(I11,I15,I19,I23,I27,#REF!,#REF!,#REF!,#REF!,#REF!,#REF!,#REF!,#REF!,#REF!,#REF!,#REF!,#REF!,#REF!,#REF!,#REF!,#REF!,#REF!)</f>
        <v>1</v>
      </c>
      <c r="J34" s="146">
        <f xml:space="preserve"> COUNT(J11,J15,J19,J23,J27,#REF!,#REF!,#REF!,#REF!,#REF!,#REF!,#REF!,#REF!,#REF!,#REF!,#REF!,#REF!,#REF!,#REF!,#REF!,#REF!,#REF!)</f>
        <v>4</v>
      </c>
      <c r="K34" s="139">
        <f xml:space="preserve"> COUNT(K11,K15,K19,K23,K27,#REF!,#REF!,#REF!,#REF!,#REF!,#REF!,#REF!,#REF!,#REF!,#REF!,#REF!,#REF!,#REF!,#REF!,#REF!,#REF!,#REF!)</f>
        <v>4</v>
      </c>
      <c r="L34" s="138">
        <f xml:space="preserve"> COUNT(L11,L15,L19,L23,L27,#REF!,#REF!,#REF!,#REF!,#REF!,#REF!,#REF!,#REF!,#REF!,#REF!,#REF!,#REF!,#REF!,#REF!,#REF!,#REF!,#REF!)</f>
        <v>1</v>
      </c>
      <c r="M34" s="140">
        <f xml:space="preserve"> COUNT(M11,M15,M19,M23,M27,#REF!,#REF!,#REF!,#REF!,#REF!,#REF!,#REF!,#REF!,#REF!,#REF!,#REF!,#REF!,#REF!,#REF!,#REF!,#REF!,#REF!)</f>
        <v>4</v>
      </c>
      <c r="N34" s="138">
        <f xml:space="preserve"> COUNT(N11,N15,N19,N23,N27,#REF!,#REF!,#REF!,#REF!,#REF!,#REF!,#REF!,#REF!,#REF!,#REF!,#REF!,#REF!,#REF!,#REF!,#REF!,#REF!,#REF!)</f>
        <v>1</v>
      </c>
      <c r="O34" s="140">
        <f xml:space="preserve"> COUNT(O11,O15,O19,O23,O27,#REF!,#REF!,#REF!,#REF!,#REF!,#REF!,#REF!,#REF!,#REF!,#REF!,#REF!,#REF!,#REF!,#REF!,#REF!,#REF!,#REF!)</f>
        <v>5</v>
      </c>
      <c r="P34" s="138">
        <f xml:space="preserve"> COUNT(P11,P15,P19,P23,P27,#REF!,#REF!,#REF!,#REF!,#REF!,#REF!,#REF!,#REF!,#REF!,#REF!,#REF!,#REF!,#REF!,#REF!,#REF!,#REF!,#REF!)</f>
        <v>0</v>
      </c>
      <c r="Q34" s="140">
        <f xml:space="preserve"> COUNT(Q11,Q15,Q19,Q23,Q27,#REF!,#REF!,#REF!,#REF!,#REF!,#REF!,#REF!,#REF!,#REF!,#REF!,#REF!,#REF!,#REF!,#REF!,#REF!,#REF!,#REF!)</f>
        <v>3</v>
      </c>
      <c r="R34" s="141">
        <f xml:space="preserve"> COUNT(R11,R15,R19,R23,R27,#REF!,#REF!,#REF!,#REF!,#REF!,#REF!,#REF!,#REF!,#REF!,#REF!,#REF!,#REF!,#REF!,#REF!,#REF!,#REF!,#REF!)</f>
        <v>2</v>
      </c>
      <c r="S34" s="56"/>
      <c r="T34" s="140">
        <f xml:space="preserve"> COUNT(T11,T15,T19,T23,T27,#REF!,#REF!,#REF!,#REF!,#REF!,#REF!,#REF!,#REF!,#REF!,#REF!,#REF!,#REF!,#REF!,#REF!,#REF!,#REF!,#REF!)</f>
        <v>0</v>
      </c>
      <c r="U34" s="138">
        <f xml:space="preserve"> COUNT(U11,U15,U19,U23,U27,#REF!,#REF!,#REF!,#REF!,#REF!,#REF!,#REF!,#REF!,#REF!,#REF!,#REF!,#REF!,#REF!,#REF!,#REF!,#REF!,#REF!)</f>
        <v>0</v>
      </c>
      <c r="V34" s="140">
        <f xml:space="preserve"> COUNT(V11,V15,V19,V23,V27,#REF!,#REF!,#REF!,#REF!,#REF!,#REF!,#REF!,#REF!,#REF!,#REF!,#REF!,#REF!,#REF!,#REF!,#REF!,#REF!,#REF!)</f>
        <v>0</v>
      </c>
      <c r="W34" s="146">
        <f xml:space="preserve"> COUNT(W11,W15,W19,W23,W27,#REF!,#REF!,#REF!,#REF!,#REF!,#REF!,#REF!,#REF!,#REF!,#REF!,#REF!,#REF!,#REF!,#REF!,#REF!,#REF!,#REF!)</f>
        <v>0</v>
      </c>
      <c r="X34" s="139">
        <f xml:space="preserve"> COUNT(X11,X15,X19,X23,X27,#REF!,#REF!,#REF!,#REF!,#REF!,#REF!,#REF!,#REF!,#REF!,#REF!,#REF!,#REF!,#REF!,#REF!,#REF!,#REF!,#REF!)</f>
        <v>0</v>
      </c>
      <c r="Y34" s="138">
        <f xml:space="preserve"> COUNT(Y11,Y15,Y19,Y23,Y27,#REF!,#REF!,#REF!,#REF!,#REF!,#REF!,#REF!,#REF!,#REF!,#REF!,#REF!,#REF!,#REF!,#REF!,#REF!,#REF!,#REF!)</f>
        <v>0</v>
      </c>
      <c r="Z34" s="140">
        <f xml:space="preserve"> COUNT(Z11,Z15,Z19,Z23,Z27,#REF!,#REF!,#REF!,#REF!,#REF!,#REF!,#REF!,#REF!,#REF!,#REF!,#REF!,#REF!,#REF!,#REF!,#REF!,#REF!,#REF!)</f>
        <v>0</v>
      </c>
      <c r="AA34" s="141">
        <f xml:space="preserve"> COUNT(AA11,AA15,AA19,AA23,AA27,#REF!,#REF!,#REF!,#REF!,#REF!,#REF!,#REF!,#REF!,#REF!,#REF!,#REF!,#REF!,#REF!,#REF!,#REF!,#REF!,#REF!)</f>
        <v>0</v>
      </c>
      <c r="AB34" s="75"/>
      <c r="AC34" s="52">
        <f xml:space="preserve"> COUNT(AC11,AC15,AC19,AC23,AC27,#REF!,#REF!,#REF!,#REF!,#REF!,#REF!,#REF!,#REF!,#REF!,#REF!,#REF!,#REF!,#REF!,#REF!,#REF!,#REF!,#REF!)</f>
        <v>0</v>
      </c>
      <c r="AD34" s="53">
        <f xml:space="preserve"> COUNT(AD11,AD15,AD19,AD23,AD27,#REF!,#REF!,#REF!,#REF!,#REF!,#REF!,#REF!,#REF!,#REF!,#REF!,#REF!,#REF!,#REF!,#REF!,#REF!,#REF!,#REF!)</f>
        <v>0</v>
      </c>
      <c r="AE34" s="54">
        <f xml:space="preserve"> COUNT(AE11,AE15,AE19,AE23,AE27,#REF!,#REF!,#REF!,#REF!,#REF!,#REF!,#REF!,#REF!,#REF!,#REF!,#REF!,#REF!,#REF!,#REF!,#REF!,#REF!,#REF!)</f>
        <v>0</v>
      </c>
      <c r="AF34" s="55">
        <f xml:space="preserve"> COUNT(AF11,AF15,AF19,AF23,AF27,#REF!,#REF!,#REF!,#REF!,#REF!,#REF!,#REF!,#REF!,#REF!,#REF!,#REF!,#REF!,#REF!,#REF!,#REF!,#REF!,#REF!)</f>
        <v>0</v>
      </c>
      <c r="AG34" s="75"/>
      <c r="AH34" s="57">
        <f xml:space="preserve"> COUNT(AH11,AH15,AH19,AH23,AH27,#REF!,#REF!,#REF!,#REF!,#REF!,#REF!,#REF!,#REF!,#REF!,#REF!,#REF!,#REF!,#REF!,#REF!,#REF!,#REF!,#REF!)</f>
        <v>0</v>
      </c>
      <c r="AI34" s="58">
        <f xml:space="preserve"> COUNT(AI11,AI15,AI19,AI23,AI27,#REF!,#REF!,#REF!,#REF!,#REF!,#REF!,#REF!,#REF!,#REF!,#REF!,#REF!,#REF!,#REF!,#REF!,#REF!,#REF!,#REF!)</f>
        <v>0</v>
      </c>
      <c r="AJ34" s="59"/>
      <c r="AK34" s="45"/>
    </row>
    <row r="35" spans="1:38" ht="6.95" customHeight="1" thickBot="1" x14ac:dyDescent="0.25"/>
    <row r="36" spans="1:38" ht="13.5" thickBot="1" x14ac:dyDescent="0.25">
      <c r="B36" s="36"/>
      <c r="N36" s="22"/>
      <c r="O36" s="226" t="s">
        <v>17</v>
      </c>
      <c r="P36" s="227"/>
      <c r="Q36" s="227"/>
      <c r="R36" s="228"/>
      <c r="AG36" s="25"/>
      <c r="AH36" s="25"/>
      <c r="AI36" s="25"/>
      <c r="AJ36" s="25"/>
      <c r="AK36" s="25"/>
    </row>
    <row r="37" spans="1:38" ht="13.5" thickBot="1" x14ac:dyDescent="0.25">
      <c r="A37" s="27"/>
      <c r="B37" s="216" t="s">
        <v>16</v>
      </c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8"/>
      <c r="O37" s="17">
        <v>1</v>
      </c>
      <c r="P37" s="17">
        <v>2</v>
      </c>
      <c r="Q37" s="17">
        <v>3</v>
      </c>
      <c r="R37" s="18">
        <v>4</v>
      </c>
      <c r="U37" s="229" t="s">
        <v>26</v>
      </c>
      <c r="V37" s="230"/>
      <c r="W37" s="230"/>
      <c r="X37" s="230"/>
      <c r="Y37" s="230"/>
      <c r="Z37" s="230"/>
      <c r="AA37" s="230"/>
      <c r="AB37" s="230"/>
      <c r="AC37" s="230"/>
      <c r="AD37" s="231"/>
      <c r="AG37" s="232" t="s">
        <v>24</v>
      </c>
      <c r="AH37" s="233"/>
      <c r="AI37" s="233"/>
      <c r="AJ37" s="233"/>
      <c r="AK37" s="234"/>
    </row>
    <row r="38" spans="1:38" x14ac:dyDescent="0.2">
      <c r="A38" s="28"/>
      <c r="B38" s="206" t="s">
        <v>6</v>
      </c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8"/>
      <c r="O38" s="16">
        <v>3</v>
      </c>
      <c r="P38" s="16">
        <v>3</v>
      </c>
      <c r="Q38" s="16">
        <v>3</v>
      </c>
      <c r="R38" s="19">
        <v>3</v>
      </c>
      <c r="U38" s="221" t="s">
        <v>20</v>
      </c>
      <c r="V38" s="222"/>
      <c r="W38" s="222"/>
      <c r="X38" s="222"/>
      <c r="Y38" s="222"/>
      <c r="Z38" s="222"/>
      <c r="AA38" s="222"/>
      <c r="AB38" s="219">
        <v>5</v>
      </c>
      <c r="AC38" s="219"/>
      <c r="AD38" s="220"/>
      <c r="AE38" s="24"/>
      <c r="AF38" s="24"/>
      <c r="AG38" s="235" t="s">
        <v>21</v>
      </c>
      <c r="AH38" s="236"/>
      <c r="AI38" s="236"/>
      <c r="AJ38" s="237"/>
      <c r="AK38" s="142">
        <v>100</v>
      </c>
    </row>
    <row r="39" spans="1:38" ht="13.5" thickBot="1" x14ac:dyDescent="0.25">
      <c r="A39" s="28"/>
      <c r="B39" s="206" t="s">
        <v>5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8"/>
      <c r="O39" s="16">
        <v>2</v>
      </c>
      <c r="P39" s="16">
        <v>2</v>
      </c>
      <c r="Q39" s="16">
        <v>2</v>
      </c>
      <c r="R39" s="19">
        <v>2</v>
      </c>
      <c r="U39" s="211" t="s">
        <v>18</v>
      </c>
      <c r="V39" s="212"/>
      <c r="W39" s="212"/>
      <c r="X39" s="212"/>
      <c r="Y39" s="212"/>
      <c r="Z39" s="212"/>
      <c r="AA39" s="212"/>
      <c r="AB39" s="239">
        <v>20</v>
      </c>
      <c r="AC39" s="239"/>
      <c r="AD39" s="240"/>
      <c r="AE39" s="24"/>
      <c r="AF39" s="24"/>
      <c r="AG39" s="238" t="s">
        <v>22</v>
      </c>
      <c r="AH39" s="207"/>
      <c r="AI39" s="207"/>
      <c r="AJ39" s="208"/>
      <c r="AK39" s="30">
        <v>0</v>
      </c>
    </row>
    <row r="40" spans="1:38" ht="14.25" thickTop="1" thickBot="1" x14ac:dyDescent="0.25">
      <c r="A40" s="29"/>
      <c r="B40" s="213" t="s">
        <v>4</v>
      </c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5"/>
      <c r="O40" s="3">
        <v>0</v>
      </c>
      <c r="P40" s="3">
        <v>0</v>
      </c>
      <c r="Q40" s="3">
        <v>0</v>
      </c>
      <c r="R40" s="20">
        <v>0</v>
      </c>
      <c r="U40" s="223" t="s">
        <v>19</v>
      </c>
      <c r="V40" s="210"/>
      <c r="W40" s="210"/>
      <c r="X40" s="210"/>
      <c r="Y40" s="210"/>
      <c r="Z40" s="210"/>
      <c r="AA40" s="210"/>
      <c r="AB40" s="224">
        <f>AB38*AB39</f>
        <v>100</v>
      </c>
      <c r="AC40" s="224"/>
      <c r="AD40" s="225"/>
      <c r="AE40" s="24"/>
      <c r="AF40" s="24"/>
      <c r="AG40" s="238" t="s">
        <v>25</v>
      </c>
      <c r="AH40" s="207"/>
      <c r="AI40" s="207"/>
      <c r="AJ40" s="208"/>
      <c r="AK40" s="30">
        <v>0</v>
      </c>
    </row>
    <row r="41" spans="1:38" ht="13.5" thickBot="1" x14ac:dyDescent="0.25">
      <c r="AG41" s="211" t="s">
        <v>23</v>
      </c>
      <c r="AH41" s="212"/>
      <c r="AI41" s="212"/>
      <c r="AJ41" s="212"/>
      <c r="AK41" s="144">
        <v>0</v>
      </c>
    </row>
    <row r="42" spans="1:38" ht="14.25" thickTop="1" thickBot="1" x14ac:dyDescent="0.25">
      <c r="AG42" s="209" t="s">
        <v>19</v>
      </c>
      <c r="AH42" s="210"/>
      <c r="AI42" s="210"/>
      <c r="AJ42" s="210"/>
      <c r="AK42" s="143">
        <f>SUM(AK38:AK41)</f>
        <v>100</v>
      </c>
    </row>
  </sheetData>
  <sortState xmlns:xlrd2="http://schemas.microsoft.com/office/spreadsheetml/2017/richdata2" ref="A11:AL30">
    <sortCondition descending="1" ref="AL11:AL30"/>
    <sortCondition ref="B11:B30"/>
  </sortState>
  <mergeCells count="40">
    <mergeCell ref="AG38:AJ38"/>
    <mergeCell ref="AG40:AJ40"/>
    <mergeCell ref="AG39:AJ39"/>
    <mergeCell ref="U39:AA39"/>
    <mergeCell ref="AB39:AD39"/>
    <mergeCell ref="B39:N39"/>
    <mergeCell ref="AG42:AJ42"/>
    <mergeCell ref="AG41:AJ41"/>
    <mergeCell ref="K6:R6"/>
    <mergeCell ref="S6:S10"/>
    <mergeCell ref="T6:W6"/>
    <mergeCell ref="B40:N40"/>
    <mergeCell ref="B37:N37"/>
    <mergeCell ref="AB38:AD38"/>
    <mergeCell ref="U38:AA38"/>
    <mergeCell ref="B38:N38"/>
    <mergeCell ref="U40:AA40"/>
    <mergeCell ref="AB40:AD40"/>
    <mergeCell ref="O36:R36"/>
    <mergeCell ref="U37:AD37"/>
    <mergeCell ref="AG37:AK37"/>
    <mergeCell ref="C1:O1"/>
    <mergeCell ref="P1:AJ1"/>
    <mergeCell ref="C4:O4"/>
    <mergeCell ref="P4:AJ4"/>
    <mergeCell ref="C3:P3"/>
    <mergeCell ref="Q3:AJ3"/>
    <mergeCell ref="C2:P2"/>
    <mergeCell ref="Q2:AJ2"/>
    <mergeCell ref="C5:S5"/>
    <mergeCell ref="T5:AB5"/>
    <mergeCell ref="AC5:AG5"/>
    <mergeCell ref="C6:J6"/>
    <mergeCell ref="AH5:AJ5"/>
    <mergeCell ref="AG6:AG10"/>
    <mergeCell ref="AJ6:AJ10"/>
    <mergeCell ref="X6:AA6"/>
    <mergeCell ref="AB6:AB10"/>
    <mergeCell ref="AC6:AD6"/>
    <mergeCell ref="AE6:AF6"/>
  </mergeCells>
  <phoneticPr fontId="16" type="noConversion"/>
  <conditionalFormatting sqref="C34:D34">
    <cfRule type="dataBar" priority="3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{052BB305-572E-47A8-BEF7-1F39E55FD2AF}</x14:id>
        </ext>
      </extLst>
    </cfRule>
  </conditionalFormatting>
  <conditionalFormatting sqref="C11:R30 T11:AA30 AC11:AF33 AH11:AI33">
    <cfRule type="cellIs" dxfId="10" priority="5" operator="notEqual">
      <formula>0</formula>
    </cfRule>
  </conditionalFormatting>
  <conditionalFormatting sqref="E34:F34">
    <cfRule type="dataBar" priority="2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{A3B8AA61-0619-4C88-8FBE-484275C01667}</x14:id>
        </ext>
      </extLst>
    </cfRule>
  </conditionalFormatting>
  <conditionalFormatting sqref="G34:H34">
    <cfRule type="dataBar" priority="2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{AD9918FD-7420-47E4-8841-2E1C8407F1B5}</x14:id>
        </ext>
      </extLst>
    </cfRule>
  </conditionalFormatting>
  <conditionalFormatting sqref="I34:J34">
    <cfRule type="dataBar" priority="1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{ECD03FC5-D291-43FD-BB09-4A567BF4CC1F}</x14:id>
        </ext>
      </extLst>
    </cfRule>
  </conditionalFormatting>
  <conditionalFormatting sqref="K34:L34">
    <cfRule type="dataBar" priority="18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{D17DC600-7DEF-4595-BAA6-F4B58C0164B5}</x14:id>
        </ext>
      </extLst>
    </cfRule>
  </conditionalFormatting>
  <conditionalFormatting sqref="M34:N34">
    <cfRule type="dataBar" priority="1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{C29C7B73-1B90-4EF1-A02A-4FF9829171E9}</x14:id>
        </ext>
      </extLst>
    </cfRule>
  </conditionalFormatting>
  <conditionalFormatting sqref="O34:P34">
    <cfRule type="dataBar" priority="16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{7B483902-7B74-43C0-B826-108B0D20AC66}</x14:id>
        </ext>
      </extLst>
    </cfRule>
  </conditionalFormatting>
  <conditionalFormatting sqref="Q34:R34">
    <cfRule type="dataBar" priority="15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{405228E6-E6BB-419A-B345-86E2B36DB949}</x14:id>
        </ext>
      </extLst>
    </cfRule>
  </conditionalFormatting>
  <conditionalFormatting sqref="S11:S33 AB11:AB33 AG11:AG33 AJ11:AJ33">
    <cfRule type="cellIs" dxfId="9" priority="33" operator="notEqual">
      <formula>""""""</formula>
    </cfRule>
  </conditionalFormatting>
  <conditionalFormatting sqref="T34:U34">
    <cfRule type="dataBar" priority="1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{9CB4E557-97CA-4AEB-8FB8-328F401D7837}</x14:id>
        </ext>
      </extLst>
    </cfRule>
  </conditionalFormatting>
  <conditionalFormatting sqref="V34:W34">
    <cfRule type="dataBar" priority="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{DD3597B6-1879-4A1B-B549-2B594B19C856}</x14:id>
        </ext>
      </extLst>
    </cfRule>
  </conditionalFormatting>
  <conditionalFormatting sqref="X34:Y34">
    <cfRule type="dataBar" priority="8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{A7663C52-1A7C-48EF-9EFB-96CBA1152C52}</x14:id>
        </ext>
      </extLst>
    </cfRule>
  </conditionalFormatting>
  <conditionalFormatting sqref="Z34:AA34">
    <cfRule type="dataBar" priority="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{B0535630-473C-4E46-A99F-93A267D87F22}</x14:id>
        </ext>
      </extLst>
    </cfRule>
  </conditionalFormatting>
  <conditionalFormatting sqref="AC34:AD34">
    <cfRule type="dataBar" priority="2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{E0A89910-5996-474F-825F-92BEA5EF50DB}</x14:id>
        </ext>
      </extLst>
    </cfRule>
  </conditionalFormatting>
  <conditionalFormatting sqref="AE34:AF34">
    <cfRule type="dataBar" priority="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{881406D2-C75E-4E13-A18F-12729C68F336}</x14:id>
        </ext>
      </extLst>
    </cfRule>
  </conditionalFormatting>
  <conditionalFormatting sqref="AK11:AK30">
    <cfRule type="dataBar" priority="46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{C7C89828-A80F-4CFB-A8E3-6391A56E8618}</x14:id>
        </ext>
      </extLst>
    </cfRule>
  </conditionalFormatting>
  <conditionalFormatting sqref="AL11:AL33">
    <cfRule type="cellIs" dxfId="8" priority="32" operator="notEqual">
      <formula>""""""</formula>
    </cfRule>
  </conditionalFormatting>
  <hyperlinks>
    <hyperlink ref="Q3" r:id="rId1" xr:uid="{00000000-0004-0000-0000-000000000000}"/>
    <hyperlink ref="Q2" r:id="rId2" xr:uid="{00000000-0004-0000-0000-000001000000}"/>
  </hyperlinks>
  <pageMargins left="0.78740157480314965" right="0.78740157480314965" top="0.78740157480314965" bottom="0.78740157480314965" header="0.39370078740157483" footer="0.39370078740157483"/>
  <pageSetup paperSize="5" scale="99" orientation="landscape" r:id="rId3"/>
  <headerFooter alignWithMargins="0">
    <oddHeader>&amp;L&amp;20Pool des séries - Sauf une fois au chalet&amp;R
Dernière mise à jour: &amp;D - &amp;T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2BB305-572E-47A8-BEF7-1F39E55FD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C34:D34</xm:sqref>
        </x14:conditionalFormatting>
        <x14:conditionalFormatting xmlns:xm="http://schemas.microsoft.com/office/excel/2006/main">
          <x14:cfRule type="dataBar" id="{A3B8AA61-0619-4C88-8FBE-484275C01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E34:F34</xm:sqref>
        </x14:conditionalFormatting>
        <x14:conditionalFormatting xmlns:xm="http://schemas.microsoft.com/office/excel/2006/main">
          <x14:cfRule type="dataBar" id="{AD9918FD-7420-47E4-8841-2E1C8407F1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G34:H34</xm:sqref>
        </x14:conditionalFormatting>
        <x14:conditionalFormatting xmlns:xm="http://schemas.microsoft.com/office/excel/2006/main">
          <x14:cfRule type="dataBar" id="{ECD03FC5-D291-43FD-BB09-4A567BF4C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I34:J34</xm:sqref>
        </x14:conditionalFormatting>
        <x14:conditionalFormatting xmlns:xm="http://schemas.microsoft.com/office/excel/2006/main">
          <x14:cfRule type="dataBar" id="{D17DC600-7DEF-4595-BAA6-F4B58C0164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K34:L34</xm:sqref>
        </x14:conditionalFormatting>
        <x14:conditionalFormatting xmlns:xm="http://schemas.microsoft.com/office/excel/2006/main">
          <x14:cfRule type="dataBar" id="{C29C7B73-1B90-4EF1-A02A-4FF982917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M34:N34</xm:sqref>
        </x14:conditionalFormatting>
        <x14:conditionalFormatting xmlns:xm="http://schemas.microsoft.com/office/excel/2006/main">
          <x14:cfRule type="dataBar" id="{7B483902-7B74-43C0-B826-108B0D20A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O34:P34</xm:sqref>
        </x14:conditionalFormatting>
        <x14:conditionalFormatting xmlns:xm="http://schemas.microsoft.com/office/excel/2006/main">
          <x14:cfRule type="dataBar" id="{405228E6-E6BB-419A-B345-86E2B36DB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Q34:R34</xm:sqref>
        </x14:conditionalFormatting>
        <x14:conditionalFormatting xmlns:xm="http://schemas.microsoft.com/office/excel/2006/main">
          <x14:cfRule type="dataBar" id="{9CB4E557-97CA-4AEB-8FB8-328F401D78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T34:U34</xm:sqref>
        </x14:conditionalFormatting>
        <x14:conditionalFormatting xmlns:xm="http://schemas.microsoft.com/office/excel/2006/main">
          <x14:cfRule type="dataBar" id="{DD3597B6-1879-4A1B-B549-2B594B19C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V34:W34</xm:sqref>
        </x14:conditionalFormatting>
        <x14:conditionalFormatting xmlns:xm="http://schemas.microsoft.com/office/excel/2006/main">
          <x14:cfRule type="dataBar" id="{A7663C52-1A7C-48EF-9EFB-96CBA1152C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X34:Y34</xm:sqref>
        </x14:conditionalFormatting>
        <x14:conditionalFormatting xmlns:xm="http://schemas.microsoft.com/office/excel/2006/main">
          <x14:cfRule type="dataBar" id="{B0535630-473C-4E46-A99F-93A267D87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Z34:AA34</xm:sqref>
        </x14:conditionalFormatting>
        <x14:conditionalFormatting xmlns:xm="http://schemas.microsoft.com/office/excel/2006/main">
          <x14:cfRule type="dataBar" id="{E0A89910-5996-474F-825F-92BEA5EF5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AC34:AD34</xm:sqref>
        </x14:conditionalFormatting>
        <x14:conditionalFormatting xmlns:xm="http://schemas.microsoft.com/office/excel/2006/main">
          <x14:cfRule type="dataBar" id="{881406D2-C75E-4E13-A18F-12729C68F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AE34:AF34</xm:sqref>
        </x14:conditionalFormatting>
        <x14:conditionalFormatting xmlns:xm="http://schemas.microsoft.com/office/excel/2006/main">
          <x14:cfRule type="dataBar" id="{C7C89828-A80F-4CFB-A8E3-6391A56E86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AK11:AK30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AJ31"/>
  <sheetViews>
    <sheetView workbookViewId="0">
      <selection activeCell="Y48" sqref="Y48"/>
    </sheetView>
  </sheetViews>
  <sheetFormatPr defaultColWidth="11.42578125" defaultRowHeight="12.75" x14ac:dyDescent="0.2"/>
  <cols>
    <col min="1" max="1" width="5.7109375" style="2" bestFit="1" customWidth="1"/>
    <col min="2" max="2" width="19.140625" style="1" customWidth="1"/>
    <col min="3" max="5" width="2.7109375" style="2" customWidth="1"/>
    <col min="6" max="6" width="3" style="2" bestFit="1" customWidth="1"/>
    <col min="7" max="10" width="2.7109375" style="2" customWidth="1"/>
    <col min="11" max="12" width="2.140625" customWidth="1"/>
    <col min="13" max="13" width="5.7109375" bestFit="1" customWidth="1"/>
    <col min="14" max="14" width="19.140625" style="1" customWidth="1"/>
    <col min="15" max="22" width="2.7109375" customWidth="1"/>
    <col min="23" max="24" width="2.140625" customWidth="1"/>
    <col min="25" max="25" width="5.7109375" bestFit="1" customWidth="1"/>
    <col min="26" max="26" width="19.140625" style="1" customWidth="1"/>
    <col min="27" max="34" width="2.7109375" customWidth="1"/>
    <col min="35" max="36" width="2.140625" customWidth="1"/>
  </cols>
  <sheetData>
    <row r="1" spans="1:36" x14ac:dyDescent="0.2">
      <c r="A1" s="44"/>
      <c r="C1" s="44"/>
      <c r="D1" s="44"/>
      <c r="E1" s="44"/>
      <c r="F1" s="44"/>
      <c r="G1" s="44"/>
      <c r="H1" s="44"/>
      <c r="I1" s="44"/>
    </row>
    <row r="2" spans="1:36" x14ac:dyDescent="0.2">
      <c r="A2" s="44"/>
      <c r="B2" s="67"/>
      <c r="C2" s="68"/>
      <c r="D2" s="68"/>
      <c r="E2" s="68"/>
      <c r="F2" s="68"/>
      <c r="G2" s="68"/>
      <c r="H2" s="68"/>
      <c r="I2" s="68"/>
      <c r="Y2" s="67"/>
      <c r="Z2" s="67"/>
      <c r="AA2" s="67"/>
      <c r="AB2" s="67"/>
      <c r="AC2" s="67"/>
      <c r="AD2" s="67"/>
      <c r="AE2" s="67"/>
      <c r="AF2" s="67"/>
      <c r="AG2" s="67"/>
    </row>
    <row r="3" spans="1:36" ht="13.5" thickBot="1" x14ac:dyDescent="0.25">
      <c r="A3" s="60" t="s">
        <v>27</v>
      </c>
      <c r="B3" s="64" t="s">
        <v>40</v>
      </c>
      <c r="C3" s="62">
        <v>3</v>
      </c>
      <c r="D3" s="62">
        <v>3</v>
      </c>
      <c r="E3" s="62">
        <v>4</v>
      </c>
      <c r="F3" s="62"/>
      <c r="G3" s="62"/>
      <c r="H3" s="62"/>
      <c r="I3" s="62"/>
      <c r="J3" s="61">
        <f>IF(C3&gt;C4,1,0)+IF(D3&gt;D4,1,0)+IF(E3&gt;E4,1,0)+IF(F3&gt;F4,1,0)+IF(G3&gt;G4,1,0)+IF(H3&gt;H4,1,0)+IF(I3&gt;I4,1,0)</f>
        <v>2</v>
      </c>
      <c r="K3" s="12"/>
      <c r="M3" s="67"/>
      <c r="N3" s="67"/>
      <c r="O3" s="67"/>
      <c r="P3" s="67"/>
      <c r="Q3" s="67"/>
      <c r="R3" s="67"/>
      <c r="S3" s="67"/>
      <c r="T3" s="67"/>
      <c r="U3" s="67"/>
      <c r="Y3" s="67"/>
      <c r="Z3" s="67"/>
      <c r="AA3" s="67"/>
      <c r="AB3" s="67"/>
      <c r="AC3" s="67"/>
      <c r="AD3" s="67"/>
      <c r="AE3" s="67"/>
      <c r="AF3" s="67"/>
      <c r="AG3" s="67"/>
    </row>
    <row r="4" spans="1:36" x14ac:dyDescent="0.2">
      <c r="A4" s="60" t="s">
        <v>49</v>
      </c>
      <c r="B4" s="64" t="s">
        <v>54</v>
      </c>
      <c r="C4" s="62">
        <v>1</v>
      </c>
      <c r="D4" s="62">
        <v>6</v>
      </c>
      <c r="E4" s="62">
        <v>2</v>
      </c>
      <c r="F4" s="62"/>
      <c r="G4" s="62"/>
      <c r="H4" s="62"/>
      <c r="I4" s="62"/>
      <c r="J4" s="61">
        <f>IF(C4&gt;C3,1,0)+IF(D4&gt;D3,1,0)+IF(E4&gt;E3,1,0)+IF(F4&gt;F3,1,0)+IF(G4&gt;G3,1,0)+IF(H4&gt;H3,1,0)+IF(I4&gt;I3,1,0)</f>
        <v>1</v>
      </c>
      <c r="K4" s="13"/>
      <c r="M4" s="67"/>
      <c r="N4" s="67"/>
      <c r="O4" s="67"/>
      <c r="P4" s="67"/>
      <c r="Q4" s="67"/>
      <c r="R4" s="67"/>
      <c r="S4" s="67"/>
      <c r="T4" s="67"/>
      <c r="U4" s="67"/>
      <c r="Y4" s="67"/>
      <c r="Z4" s="67"/>
      <c r="AA4" s="67"/>
      <c r="AB4" s="67"/>
      <c r="AC4" s="67"/>
      <c r="AD4" s="67"/>
      <c r="AE4" s="67"/>
      <c r="AF4" s="67"/>
      <c r="AG4" s="67"/>
    </row>
    <row r="5" spans="1:36" x14ac:dyDescent="0.2">
      <c r="A5" s="44"/>
      <c r="B5" s="67"/>
      <c r="C5" s="68"/>
      <c r="D5" s="68"/>
      <c r="E5" s="68"/>
      <c r="F5" s="68"/>
      <c r="G5" s="68"/>
      <c r="H5" s="68"/>
      <c r="I5" s="68"/>
      <c r="K5" s="13"/>
      <c r="M5" s="67"/>
      <c r="N5" s="67"/>
      <c r="O5" s="67"/>
      <c r="P5" s="67"/>
      <c r="Q5" s="67"/>
      <c r="R5" s="67"/>
      <c r="S5" s="67"/>
      <c r="T5" s="67"/>
      <c r="U5" s="67"/>
      <c r="Y5" s="67"/>
      <c r="Z5" s="67"/>
      <c r="AA5" s="67"/>
      <c r="AB5" s="67"/>
      <c r="AC5" s="67"/>
      <c r="AD5" s="67"/>
      <c r="AE5" s="67"/>
      <c r="AF5" s="67"/>
      <c r="AG5" s="67"/>
    </row>
    <row r="6" spans="1:36" ht="13.5" thickBot="1" x14ac:dyDescent="0.25">
      <c r="A6" s="60" t="s">
        <v>28</v>
      </c>
      <c r="B6" s="64" t="s">
        <v>41</v>
      </c>
      <c r="C6" s="62">
        <v>3</v>
      </c>
      <c r="D6" s="62">
        <v>7</v>
      </c>
      <c r="E6" s="62"/>
      <c r="F6" s="62"/>
      <c r="G6" s="62"/>
      <c r="H6" s="62"/>
      <c r="I6" s="62"/>
      <c r="J6" s="61">
        <f>IF(C6&gt;C7,1,0)+IF(D6&gt;D7,1,0)+IF(E6&gt;E7,1,0)+IF(F6&gt;F7,1,0)+IF(G6&gt;G7,1,0)+IF(H6&gt;H7,1,0)+IF(I6&gt;I7,1,0)</f>
        <v>1</v>
      </c>
      <c r="K6" s="15"/>
      <c r="L6" s="12"/>
      <c r="M6" s="60" t="s">
        <v>28</v>
      </c>
      <c r="N6" s="64"/>
      <c r="O6" s="62"/>
      <c r="P6" s="62"/>
      <c r="Q6" s="62"/>
      <c r="R6" s="62"/>
      <c r="S6" s="62"/>
      <c r="T6" s="62"/>
      <c r="U6" s="62"/>
      <c r="V6" s="61">
        <f>IF(O6&gt;O7,1,0)+IF(P6&gt;P7,1,0)+IF(Q6&gt;Q7,1,0)+IF(R6&gt;R7,1,0)+IF(S6&gt;S7,1,0)+IF(T6&gt;T7,1,0)+IF(U6&gt;U7,1,0)</f>
        <v>0</v>
      </c>
      <c r="W6" s="12"/>
      <c r="Y6" s="67"/>
      <c r="Z6" s="67"/>
      <c r="AA6" s="67"/>
      <c r="AB6" s="67"/>
      <c r="AC6" s="67"/>
      <c r="AD6" s="67"/>
      <c r="AE6" s="67"/>
      <c r="AF6" s="67"/>
      <c r="AG6" s="67"/>
    </row>
    <row r="7" spans="1:36" x14ac:dyDescent="0.2">
      <c r="A7" s="60" t="s">
        <v>29</v>
      </c>
      <c r="B7" s="64" t="s">
        <v>39</v>
      </c>
      <c r="C7" s="62">
        <v>7</v>
      </c>
      <c r="D7" s="62">
        <v>2</v>
      </c>
      <c r="E7" s="62"/>
      <c r="F7" s="62"/>
      <c r="G7" s="62"/>
      <c r="H7" s="62"/>
      <c r="I7" s="62"/>
      <c r="J7" s="61">
        <f>IF(C7&gt;C6,1,0)+IF(D7&gt;D6,1,0)+IF(E7&gt;E6,1,0)+IF(F7&gt;F6,1,0)+IF(G7&gt;G6,1,0)+IF(H7&gt;H6,1,0)+IF(I7&gt;I6,1,0)</f>
        <v>1</v>
      </c>
      <c r="K7" s="45"/>
      <c r="M7" s="60" t="s">
        <v>49</v>
      </c>
      <c r="N7" s="64"/>
      <c r="O7" s="62"/>
      <c r="P7" s="62"/>
      <c r="Q7" s="62"/>
      <c r="R7" s="62"/>
      <c r="S7" s="62"/>
      <c r="T7" s="62"/>
      <c r="U7" s="62"/>
      <c r="V7" s="61">
        <f>IF(O7&gt;O6,1,0)+IF(P7&gt;P6,1,0)+IF(Q7&gt;Q6,1,0)+IF(R7&gt;R6,1,0)+IF(S7&gt;S6,1,0)+IF(T7&gt;T6,1,0)+IF(U7&gt;U6,1,0)</f>
        <v>0</v>
      </c>
      <c r="W7" s="13"/>
      <c r="Y7" s="67"/>
      <c r="Z7" s="67"/>
      <c r="AA7" s="67"/>
      <c r="AB7" s="67"/>
      <c r="AC7" s="67"/>
      <c r="AD7" s="67"/>
      <c r="AE7" s="67"/>
      <c r="AF7" s="67"/>
      <c r="AG7" s="67"/>
    </row>
    <row r="8" spans="1:36" ht="13.5" thickBot="1" x14ac:dyDescent="0.25">
      <c r="A8" s="44"/>
      <c r="B8" s="67"/>
      <c r="C8" s="68"/>
      <c r="D8" s="68"/>
      <c r="E8" s="68"/>
      <c r="F8" s="68"/>
      <c r="G8" s="68"/>
      <c r="H8" s="68"/>
      <c r="I8" s="68"/>
      <c r="M8" s="68"/>
      <c r="N8" s="67"/>
      <c r="O8" s="68"/>
      <c r="P8" s="68"/>
      <c r="Q8" s="68"/>
      <c r="R8" s="68"/>
      <c r="S8" s="68"/>
      <c r="T8" s="68"/>
      <c r="U8" s="68"/>
      <c r="V8" s="2"/>
      <c r="W8" s="13"/>
      <c r="X8" s="12"/>
      <c r="Y8" s="60" t="s">
        <v>28</v>
      </c>
      <c r="Z8" s="64"/>
      <c r="AA8" s="62"/>
      <c r="AB8" s="62"/>
      <c r="AC8" s="62"/>
      <c r="AD8" s="62"/>
      <c r="AE8" s="62"/>
      <c r="AF8" s="62"/>
      <c r="AG8" s="62"/>
      <c r="AH8" s="61">
        <f>IF(AA8&gt;AA9,1,0)+IF(AB8&gt;AB9,1,0)+IF(AC8&gt;AC9,1,0)+IF(AD8&gt;AD9,1,0)+IF(AE8&gt;AE9,1,0)+IF(AF8&gt;AF9,1,0)+IF(AG8&gt;AG9,1,0)</f>
        <v>0</v>
      </c>
      <c r="AI8" s="12"/>
      <c r="AJ8" s="12"/>
    </row>
    <row r="9" spans="1:36" x14ac:dyDescent="0.2">
      <c r="A9" s="44"/>
      <c r="B9" s="67"/>
      <c r="C9" s="68"/>
      <c r="D9" s="68"/>
      <c r="E9" s="68"/>
      <c r="F9" s="68"/>
      <c r="G9" s="68"/>
      <c r="H9" s="68"/>
      <c r="I9" s="68"/>
      <c r="M9" s="68"/>
      <c r="N9" s="67"/>
      <c r="O9" s="68"/>
      <c r="P9" s="68"/>
      <c r="Q9" s="68"/>
      <c r="R9" s="68"/>
      <c r="S9" s="68"/>
      <c r="T9" s="68"/>
      <c r="U9" s="68"/>
      <c r="V9" s="2"/>
      <c r="W9" s="13"/>
      <c r="Y9" s="60" t="s">
        <v>50</v>
      </c>
      <c r="Z9" s="64"/>
      <c r="AA9" s="62"/>
      <c r="AB9" s="62"/>
      <c r="AC9" s="62"/>
      <c r="AD9" s="62"/>
      <c r="AE9" s="62"/>
      <c r="AF9" s="62"/>
      <c r="AG9" s="62"/>
      <c r="AH9" s="61">
        <f>IF(AA9&gt;AA8,1,0)+IF(AB9&gt;AB8,1,0)+IF(AC9&gt;AC8,1,0)+IF(AD9&gt;AD8,1,0)+IF(AE9&gt;AE8,1,0)+IF(AF9&gt;AF8,1,0)+IF(AG9&gt;AG8,1,0)</f>
        <v>0</v>
      </c>
      <c r="AJ9" s="13"/>
    </row>
    <row r="10" spans="1:36" ht="13.5" thickBot="1" x14ac:dyDescent="0.25">
      <c r="A10" s="60" t="s">
        <v>30</v>
      </c>
      <c r="B10" s="64" t="s">
        <v>55</v>
      </c>
      <c r="C10" s="62">
        <v>2</v>
      </c>
      <c r="D10" s="62">
        <v>4</v>
      </c>
      <c r="E10" s="62">
        <v>1</v>
      </c>
      <c r="F10" s="62"/>
      <c r="G10" s="63"/>
      <c r="H10" s="62"/>
      <c r="I10" s="63"/>
      <c r="J10" s="61">
        <f>IF(C10&gt;C11,1,0)+IF(D10&gt;D11,1,0)+IF(E10&gt;E11,1,0)+IF(F10&gt;F11,1,0)+IF(G10&gt;G11,1,0)+IF(H10&gt;H11,1,0)+IF(I10&gt;I11,1,0)</f>
        <v>2</v>
      </c>
      <c r="K10" s="12"/>
      <c r="L10" s="12"/>
      <c r="M10" s="60" t="s">
        <v>31</v>
      </c>
      <c r="N10" s="64"/>
      <c r="O10" s="62"/>
      <c r="P10" s="62"/>
      <c r="Q10" s="62"/>
      <c r="R10" s="62"/>
      <c r="S10" s="62"/>
      <c r="T10" s="62"/>
      <c r="U10" s="62"/>
      <c r="V10" s="61">
        <f>IF(O10&gt;O11,1,0)+IF(P10&gt;P11,1,0)+IF(Q10&gt;Q11,1,0)+IF(R10&gt;R11,1,0)+IF(S10&gt;S11,1,0)+IF(T10&gt;T11,1,0)+IF(U10&gt;U11,1,0)</f>
        <v>0</v>
      </c>
      <c r="W10" s="15"/>
      <c r="Y10" s="67"/>
      <c r="Z10" s="67"/>
      <c r="AA10" s="67"/>
      <c r="AB10" s="67"/>
      <c r="AC10" s="67"/>
      <c r="AD10" s="67"/>
      <c r="AE10" s="67"/>
      <c r="AF10" s="67"/>
      <c r="AG10" s="67"/>
      <c r="AJ10" s="13"/>
    </row>
    <row r="11" spans="1:36" x14ac:dyDescent="0.2">
      <c r="A11" s="60" t="s">
        <v>50</v>
      </c>
      <c r="B11" s="64" t="s">
        <v>56</v>
      </c>
      <c r="C11" s="62">
        <v>1</v>
      </c>
      <c r="D11" s="62">
        <v>3</v>
      </c>
      <c r="E11" s="62">
        <v>5</v>
      </c>
      <c r="F11" s="62"/>
      <c r="G11" s="63"/>
      <c r="H11" s="62"/>
      <c r="I11" s="63"/>
      <c r="J11" s="61">
        <f>IF(C11&gt;C10,1,0)+IF(D11&gt;D10,1,0)+IF(E11&gt;E10,1,0)+IF(F11&gt;F10,1,0)+IF(G11&gt;G10,1,0)+IF(H11&gt;H10,1,0)+IF(I11&gt;I10,1,0)</f>
        <v>1</v>
      </c>
      <c r="K11" s="13"/>
      <c r="M11" s="60" t="s">
        <v>50</v>
      </c>
      <c r="N11" s="64"/>
      <c r="O11" s="62"/>
      <c r="P11" s="62"/>
      <c r="Q11" s="62"/>
      <c r="R11" s="62"/>
      <c r="S11" s="62"/>
      <c r="T11" s="62"/>
      <c r="U11" s="62"/>
      <c r="V11" s="61">
        <f>IF(O11&gt;O10,1,0)+IF(P11&gt;P10,1,0)+IF(Q11&gt;Q10,1,0)+IF(R11&gt;R10,1,0)+IF(S11&gt;S10,1,0)+IF(T11&gt;T10,1,0)+IF(U11&gt;U10,1,0)</f>
        <v>0</v>
      </c>
      <c r="Y11" s="67"/>
      <c r="Z11" s="67"/>
      <c r="AA11" s="67"/>
      <c r="AB11" s="67"/>
      <c r="AC11" s="67"/>
      <c r="AD11" s="67"/>
      <c r="AE11" s="67"/>
      <c r="AF11" s="67"/>
      <c r="AG11" s="67"/>
      <c r="AJ11" s="13"/>
    </row>
    <row r="12" spans="1:36" x14ac:dyDescent="0.2">
      <c r="A12" s="44"/>
      <c r="B12" s="67"/>
      <c r="C12" s="68"/>
      <c r="D12" s="68"/>
      <c r="E12" s="68"/>
      <c r="F12" s="68"/>
      <c r="G12" s="68"/>
      <c r="H12" s="68"/>
      <c r="I12" s="68"/>
      <c r="K12" s="13"/>
      <c r="M12" s="67"/>
      <c r="N12" s="67"/>
      <c r="O12" s="67"/>
      <c r="P12" s="67"/>
      <c r="Q12" s="67"/>
      <c r="R12" s="67"/>
      <c r="S12" s="67"/>
      <c r="T12" s="67"/>
      <c r="U12" s="67"/>
      <c r="Y12" s="67"/>
      <c r="Z12" s="67"/>
      <c r="AA12" s="67"/>
      <c r="AB12" s="67"/>
      <c r="AC12" s="67"/>
      <c r="AD12" s="67"/>
      <c r="AE12" s="67"/>
      <c r="AF12" s="67"/>
      <c r="AG12" s="67"/>
      <c r="AJ12" s="13"/>
    </row>
    <row r="13" spans="1:36" ht="13.5" thickBot="1" x14ac:dyDescent="0.25">
      <c r="A13" s="60" t="s">
        <v>31</v>
      </c>
      <c r="B13" s="64" t="s">
        <v>57</v>
      </c>
      <c r="C13" s="62">
        <v>1</v>
      </c>
      <c r="D13" s="63">
        <v>1</v>
      </c>
      <c r="E13" s="62"/>
      <c r="F13" s="62"/>
      <c r="G13" s="63"/>
      <c r="H13" s="63"/>
      <c r="I13" s="63"/>
      <c r="J13" s="61">
        <f>IF(C13&gt;C14,1,0)+IF(D13&gt;D14,1,0)+IF(E13&gt;E14,1,0)+IF(F13&gt;F14,1,0)+IF(G13&gt;G14,1,0)+IF(H13&gt;H14,1,0)+IF(I13&gt;I14,1,0)</f>
        <v>0</v>
      </c>
      <c r="K13" s="15"/>
      <c r="M13" s="67"/>
      <c r="N13" s="67"/>
      <c r="O13" s="67"/>
      <c r="P13" s="67"/>
      <c r="Q13" s="67"/>
      <c r="R13" s="67"/>
      <c r="S13" s="67"/>
      <c r="T13" s="67"/>
      <c r="U13" s="67"/>
      <c r="Y13" s="69"/>
      <c r="Z13" s="67"/>
      <c r="AA13" s="67"/>
      <c r="AB13" s="67"/>
      <c r="AC13" s="67"/>
      <c r="AD13" s="67"/>
      <c r="AE13" s="67"/>
      <c r="AF13" s="67"/>
      <c r="AG13" s="67"/>
      <c r="AJ13" s="13"/>
    </row>
    <row r="14" spans="1:36" x14ac:dyDescent="0.2">
      <c r="A14" s="60" t="s">
        <v>32</v>
      </c>
      <c r="B14" s="64" t="s">
        <v>58</v>
      </c>
      <c r="C14" s="62">
        <v>5</v>
      </c>
      <c r="D14" s="63">
        <v>5</v>
      </c>
      <c r="E14" s="62"/>
      <c r="F14" s="62"/>
      <c r="G14" s="63"/>
      <c r="H14" s="63"/>
      <c r="I14" s="63"/>
      <c r="J14" s="61">
        <f>IF(C14&gt;C13,1,0)+IF(D14&gt;D13,1,0)+IF(E14&gt;E13,1,0)+IF(F14&gt;F13,1,0)+IF(G14&gt;G13,1,0)+IF(H14&gt;H13,1,0)+IF(I14&gt;I13,1,0)</f>
        <v>2</v>
      </c>
      <c r="M14" s="67"/>
      <c r="N14" s="67"/>
      <c r="O14" s="67"/>
      <c r="P14" s="67"/>
      <c r="Q14" s="67"/>
      <c r="R14" s="67"/>
      <c r="S14" s="67"/>
      <c r="T14" s="67"/>
      <c r="U14" s="67"/>
      <c r="X14" s="4"/>
      <c r="Y14" s="70"/>
      <c r="Z14" s="70"/>
      <c r="AA14" s="70"/>
      <c r="AB14" s="70"/>
      <c r="AC14" s="70"/>
      <c r="AD14" s="70"/>
      <c r="AE14" s="70"/>
      <c r="AF14" s="70"/>
      <c r="AG14" s="70"/>
      <c r="AH14" s="5"/>
      <c r="AI14" s="6"/>
      <c r="AJ14" s="13"/>
    </row>
    <row r="15" spans="1:36" ht="13.5" thickBot="1" x14ac:dyDescent="0.25">
      <c r="A15" s="44"/>
      <c r="B15" s="67"/>
      <c r="C15" s="68"/>
      <c r="D15" s="68"/>
      <c r="E15" s="68"/>
      <c r="F15" s="68"/>
      <c r="G15" s="68"/>
      <c r="H15" s="68"/>
      <c r="I15" s="68"/>
      <c r="M15" s="67"/>
      <c r="N15" s="67"/>
      <c r="O15" s="67"/>
      <c r="P15" s="67"/>
      <c r="Q15" s="67"/>
      <c r="R15" s="67"/>
      <c r="S15" s="67"/>
      <c r="T15" s="67"/>
      <c r="U15" s="67"/>
      <c r="X15" s="11"/>
      <c r="Y15" s="60" t="s">
        <v>28</v>
      </c>
      <c r="Z15" s="64"/>
      <c r="AA15" s="62"/>
      <c r="AB15" s="62"/>
      <c r="AC15" s="62"/>
      <c r="AD15" s="62"/>
      <c r="AE15" s="62"/>
      <c r="AF15" s="62"/>
      <c r="AG15" s="62"/>
      <c r="AH15" s="61">
        <f>IF(AA15&gt;AA16,1,0)+IF(AB15&gt;AB16,1,0)+IF(AC15&gt;AC16,1,0)+IF(AD15&gt;AD16,1,0)+IF(AE15&gt;AE16,1,0)+IF(AF15&gt;AF16,1,0)+IF(AG15&gt;AG16,1,0)</f>
        <v>0</v>
      </c>
      <c r="AI15" s="7"/>
      <c r="AJ15" s="14"/>
    </row>
    <row r="16" spans="1:36" x14ac:dyDescent="0.2">
      <c r="A16" s="44"/>
      <c r="B16" s="67"/>
      <c r="C16" s="68"/>
      <c r="D16" s="68"/>
      <c r="E16" s="68"/>
      <c r="F16" s="68"/>
      <c r="G16" s="68"/>
      <c r="H16" s="68"/>
      <c r="I16" s="68"/>
      <c r="M16" s="67"/>
      <c r="N16" s="67"/>
      <c r="O16" s="67"/>
      <c r="P16" s="67"/>
      <c r="Q16" s="67"/>
      <c r="R16" s="67"/>
      <c r="S16" s="67"/>
      <c r="T16" s="67"/>
      <c r="U16" s="67"/>
      <c r="X16" s="11"/>
      <c r="Y16" s="60" t="s">
        <v>38</v>
      </c>
      <c r="Z16" s="64"/>
      <c r="AA16" s="62"/>
      <c r="AB16" s="62"/>
      <c r="AC16" s="62"/>
      <c r="AD16" s="62"/>
      <c r="AE16" s="62"/>
      <c r="AF16" s="62"/>
      <c r="AG16" s="62"/>
      <c r="AH16" s="61">
        <f>IF(AA16&gt;AA15,1,0)+IF(AB16&gt;AB15,1,0)+IF(AC16&gt;AC15,1,0)+IF(AD16&gt;AD15,1,0)+IF(AE16&gt;AE15,1,0)+IF(AF16&gt;AF15,1,0)+IF(AG16&gt;AG15,1,0)</f>
        <v>0</v>
      </c>
      <c r="AI16" s="7"/>
      <c r="AJ16" s="13"/>
    </row>
    <row r="17" spans="1:36" ht="13.5" thickBot="1" x14ac:dyDescent="0.25">
      <c r="A17" s="60" t="s">
        <v>36</v>
      </c>
      <c r="B17" s="64" t="s">
        <v>42</v>
      </c>
      <c r="C17" s="62">
        <v>1</v>
      </c>
      <c r="D17" s="63">
        <v>3</v>
      </c>
      <c r="E17" s="62"/>
      <c r="F17" s="63"/>
      <c r="G17" s="62"/>
      <c r="H17" s="62"/>
      <c r="I17" s="62"/>
      <c r="J17" s="61">
        <f>IF(C17&gt;C18,1,0)+IF(D17&gt;D18,1,0)+IF(E17&gt;E18,1,0)+IF(F17&gt;F18,1,0)+IF(G17&gt;G18,1,0)+IF(H17&gt;H18,1,0)+IF(I17&gt;I18,1,0)</f>
        <v>1</v>
      </c>
      <c r="K17" s="12"/>
      <c r="M17" s="67"/>
      <c r="N17" s="67"/>
      <c r="O17" s="67"/>
      <c r="P17" s="67"/>
      <c r="Q17" s="67"/>
      <c r="R17" s="67"/>
      <c r="S17" s="67"/>
      <c r="T17" s="67"/>
      <c r="U17" s="67"/>
      <c r="X17" s="9"/>
      <c r="Y17" s="71"/>
      <c r="Z17" s="71"/>
      <c r="AA17" s="71"/>
      <c r="AB17" s="71"/>
      <c r="AC17" s="71"/>
      <c r="AD17" s="71"/>
      <c r="AE17" s="71"/>
      <c r="AF17" s="71"/>
      <c r="AG17" s="71"/>
      <c r="AH17" s="10"/>
      <c r="AI17" s="8"/>
      <c r="AJ17" s="13"/>
    </row>
    <row r="18" spans="1:36" x14ac:dyDescent="0.2">
      <c r="A18" s="60" t="s">
        <v>49</v>
      </c>
      <c r="B18" s="64" t="s">
        <v>59</v>
      </c>
      <c r="C18" s="62">
        <v>3</v>
      </c>
      <c r="D18" s="63">
        <v>2</v>
      </c>
      <c r="E18" s="62"/>
      <c r="F18" s="63"/>
      <c r="G18" s="62"/>
      <c r="H18" s="62"/>
      <c r="I18" s="62"/>
      <c r="J18" s="61">
        <f>IF(C18&gt;C17,1,0)+IF(D18&gt;D17,1,0)+IF(E18&gt;E17,1,0)+IF(F18&gt;F17,1,0)+IF(G18&gt;G17,1,0)+IF(H18&gt;H17,1,0)+IF(I18&gt;I17,1,0)</f>
        <v>1</v>
      </c>
      <c r="K18" s="13"/>
      <c r="M18" s="67"/>
      <c r="N18" s="67"/>
      <c r="O18" s="67"/>
      <c r="P18" s="67"/>
      <c r="Q18" s="67"/>
      <c r="R18" s="67"/>
      <c r="S18" s="67"/>
      <c r="T18" s="67"/>
      <c r="U18" s="67"/>
      <c r="Y18" s="72"/>
      <c r="Z18" s="67"/>
      <c r="AA18" s="67"/>
      <c r="AB18" s="67"/>
      <c r="AC18" s="67"/>
      <c r="AD18" s="67"/>
      <c r="AE18" s="67"/>
      <c r="AF18" s="67"/>
      <c r="AG18" s="67"/>
      <c r="AJ18" s="13"/>
    </row>
    <row r="19" spans="1:36" x14ac:dyDescent="0.2">
      <c r="A19" s="44"/>
      <c r="B19" s="67"/>
      <c r="C19" s="68"/>
      <c r="D19" s="68"/>
      <c r="E19" s="68"/>
      <c r="F19" s="68"/>
      <c r="G19" s="68"/>
      <c r="H19" s="68"/>
      <c r="I19" s="68"/>
      <c r="K19" s="13"/>
      <c r="M19" s="67"/>
      <c r="N19" s="67"/>
      <c r="O19" s="67"/>
      <c r="P19" s="67"/>
      <c r="Q19" s="67"/>
      <c r="R19" s="67"/>
      <c r="S19" s="67"/>
      <c r="T19" s="67"/>
      <c r="U19" s="67"/>
      <c r="Y19" s="67"/>
      <c r="Z19" s="67"/>
      <c r="AA19" s="67"/>
      <c r="AB19" s="67"/>
      <c r="AC19" s="67"/>
      <c r="AD19" s="67"/>
      <c r="AE19" s="67"/>
      <c r="AF19" s="67"/>
      <c r="AG19" s="67"/>
      <c r="AJ19" s="13"/>
    </row>
    <row r="20" spans="1:36" ht="13.5" thickBot="1" x14ac:dyDescent="0.25">
      <c r="A20" s="60" t="s">
        <v>37</v>
      </c>
      <c r="B20" s="64" t="s">
        <v>51</v>
      </c>
      <c r="C20" s="62">
        <v>2</v>
      </c>
      <c r="D20" s="62">
        <v>7</v>
      </c>
      <c r="E20" s="62">
        <v>1</v>
      </c>
      <c r="F20" s="62"/>
      <c r="G20" s="62"/>
      <c r="H20" s="62"/>
      <c r="I20" s="63"/>
      <c r="J20" s="61">
        <f>IF(C20&gt;C21,1,0)+IF(D20&gt;D21,1,0)+IF(E20&gt;E21,1,0)+IF(F20&gt;F21,1,0)+IF(G20&gt;G21,1,0)+IF(H20&gt;H21,1,0)+IF(I20&gt;I21,1,0)</f>
        <v>1</v>
      </c>
      <c r="K20" s="15"/>
      <c r="L20" s="12"/>
      <c r="M20" s="60" t="s">
        <v>34</v>
      </c>
      <c r="N20" s="64"/>
      <c r="O20" s="62"/>
      <c r="P20" s="62"/>
      <c r="Q20" s="62"/>
      <c r="R20" s="62"/>
      <c r="S20" s="62"/>
      <c r="T20" s="62"/>
      <c r="U20" s="62"/>
      <c r="V20" s="61">
        <f>IF(O20&gt;O21,1,0)+IF(P20&gt;P21,1,0)+IF(Q20&gt;Q21,1,0)+IF(R20&gt;R21,1,0)+IF(S20&gt;S21,1,0)+IF(T20&gt;T21,1,0)+IF(U20&gt;U21,1,0)</f>
        <v>0</v>
      </c>
      <c r="W20" s="12"/>
      <c r="Y20" s="67"/>
      <c r="Z20" s="67"/>
      <c r="AA20" s="67"/>
      <c r="AB20" s="67"/>
      <c r="AC20" s="67"/>
      <c r="AD20" s="67"/>
      <c r="AE20" s="67"/>
      <c r="AF20" s="67"/>
      <c r="AG20" s="67"/>
      <c r="AJ20" s="13"/>
    </row>
    <row r="21" spans="1:36" x14ac:dyDescent="0.2">
      <c r="A21" s="60" t="s">
        <v>38</v>
      </c>
      <c r="B21" s="64" t="s">
        <v>60</v>
      </c>
      <c r="C21" s="62">
        <v>3</v>
      </c>
      <c r="D21" s="62">
        <v>3</v>
      </c>
      <c r="E21" s="62">
        <v>5</v>
      </c>
      <c r="F21" s="62"/>
      <c r="G21" s="62"/>
      <c r="H21" s="62"/>
      <c r="I21" s="63"/>
      <c r="J21" s="61">
        <f>IF(C21&gt;C20,1,0)+IF(D21&gt;D20,1,0)+IF(E21&gt;E20,1,0)+IF(F21&gt;F20,1,0)+IF(G21&gt;G20,1,0)+IF(H21&gt;H20,1,0)+IF(I21&gt;I20,1,0)</f>
        <v>2</v>
      </c>
      <c r="K21" s="45"/>
      <c r="M21" s="60" t="s">
        <v>49</v>
      </c>
      <c r="N21" s="64"/>
      <c r="O21" s="62"/>
      <c r="P21" s="62"/>
      <c r="Q21" s="62"/>
      <c r="R21" s="62"/>
      <c r="S21" s="62"/>
      <c r="T21" s="62"/>
      <c r="U21" s="62"/>
      <c r="V21" s="61">
        <f>IF(O21&gt;O20,1,0)+IF(P21&gt;P20,1,0)+IF(Q21&gt;Q20,1,0)+IF(R21&gt;R20,1,0)+IF(S21&gt;S20,1,0)+IF(T21&gt;T20,1,0)+IF(U21&gt;U20,1,0)</f>
        <v>0</v>
      </c>
      <c r="W21" s="13"/>
      <c r="Y21" s="67"/>
      <c r="Z21" s="67"/>
      <c r="AA21" s="67"/>
      <c r="AB21" s="67"/>
      <c r="AC21" s="67"/>
      <c r="AD21" s="67"/>
      <c r="AE21" s="67"/>
      <c r="AF21" s="67"/>
      <c r="AG21" s="67"/>
      <c r="AJ21" s="13"/>
    </row>
    <row r="22" spans="1:36" ht="13.5" thickBot="1" x14ac:dyDescent="0.25">
      <c r="A22" s="44"/>
      <c r="B22" s="67"/>
      <c r="C22" s="68"/>
      <c r="D22" s="68"/>
      <c r="E22" s="68"/>
      <c r="F22" s="68"/>
      <c r="G22" s="68"/>
      <c r="H22" s="68"/>
      <c r="I22" s="68"/>
      <c r="M22" s="68"/>
      <c r="N22" s="67"/>
      <c r="O22" s="68"/>
      <c r="P22" s="68"/>
      <c r="Q22" s="68"/>
      <c r="R22" s="68"/>
      <c r="S22" s="68"/>
      <c r="T22" s="68"/>
      <c r="U22" s="68"/>
      <c r="V22" s="2"/>
      <c r="W22" s="13"/>
      <c r="X22" s="12"/>
      <c r="Y22" s="60" t="s">
        <v>34</v>
      </c>
      <c r="Z22" s="64"/>
      <c r="AA22" s="62"/>
      <c r="AB22" s="62"/>
      <c r="AC22" s="62"/>
      <c r="AD22" s="62"/>
      <c r="AE22" s="62"/>
      <c r="AF22" s="62"/>
      <c r="AG22" s="62"/>
      <c r="AH22" s="61">
        <f>IF(AA22&gt;AA23,1,0)+IF(AB22&gt;AB23,1,0)+IF(AC22&gt;AC23,1,0)+IF(AD22&gt;AD23,1,0)+IF(AE22&gt;AE23,1,0)+IF(AF22&gt;AF23,1,0)+IF(AG22&gt;AG23,1,0)</f>
        <v>0</v>
      </c>
      <c r="AI22" s="12"/>
      <c r="AJ22" s="15"/>
    </row>
    <row r="23" spans="1:36" x14ac:dyDescent="0.2">
      <c r="A23" s="44"/>
      <c r="B23" s="67"/>
      <c r="C23" s="68"/>
      <c r="D23" s="68"/>
      <c r="E23" s="68"/>
      <c r="F23" s="68"/>
      <c r="G23" s="68"/>
      <c r="H23" s="68"/>
      <c r="I23" s="68"/>
      <c r="M23" s="68"/>
      <c r="N23" s="67"/>
      <c r="O23" s="68"/>
      <c r="P23" s="68"/>
      <c r="Q23" s="68"/>
      <c r="R23" s="68"/>
      <c r="S23" s="68"/>
      <c r="T23" s="68"/>
      <c r="U23" s="68"/>
      <c r="V23" s="2"/>
      <c r="W23" s="13"/>
      <c r="Y23" s="60" t="s">
        <v>38</v>
      </c>
      <c r="Z23" s="64"/>
      <c r="AA23" s="62"/>
      <c r="AB23" s="62"/>
      <c r="AC23" s="62"/>
      <c r="AD23" s="62"/>
      <c r="AE23" s="62"/>
      <c r="AF23" s="62"/>
      <c r="AG23" s="62"/>
      <c r="AH23" s="61">
        <f>IF(AA23&gt;AA22,1,0)+IF(AB23&gt;AB22,1,0)+IF(AC23&gt;AC22,1,0)+IF(AD23&gt;AD22,1,0)+IF(AE23&gt;AE22,1,0)+IF(AF23&gt;AF22,1,0)+IF(AG23&gt;AG22,1,0)</f>
        <v>0</v>
      </c>
    </row>
    <row r="24" spans="1:36" ht="13.5" thickBot="1" x14ac:dyDescent="0.25">
      <c r="A24" s="60" t="s">
        <v>33</v>
      </c>
      <c r="B24" s="64" t="s">
        <v>44</v>
      </c>
      <c r="C24" s="62">
        <v>1</v>
      </c>
      <c r="D24" s="62">
        <v>5</v>
      </c>
      <c r="E24" s="62"/>
      <c r="F24" s="62"/>
      <c r="G24" s="62"/>
      <c r="H24" s="62"/>
      <c r="I24" s="63"/>
      <c r="J24" s="61">
        <f>IF(C24&gt;C25,1,0)+IF(D24&gt;D25,1,0)+IF(E24&gt;E25,1,0)+IF(F24&gt;F25,1,0)+IF(G24&gt;G25,1,0)+IF(H24&gt;H25,1,0)+IF(I24&gt;I25,1,0)</f>
        <v>1</v>
      </c>
      <c r="K24" s="12"/>
      <c r="L24" s="12"/>
      <c r="M24" s="60" t="s">
        <v>38</v>
      </c>
      <c r="N24" s="64"/>
      <c r="O24" s="62"/>
      <c r="P24" s="63"/>
      <c r="Q24" s="63"/>
      <c r="R24" s="63"/>
      <c r="S24" s="63"/>
      <c r="T24" s="63"/>
      <c r="U24" s="62"/>
      <c r="V24" s="61">
        <f>IF(O24&gt;O25,1,0)+IF(P24&gt;P25,1,0)+IF(Q24&gt;Q25,1,0)+IF(R24&gt;R25,1,0)+IF(S24&gt;S25,1,0)+IF(T24&gt;T25,1,0)+IF(U24&gt;U25,1,0)</f>
        <v>0</v>
      </c>
      <c r="W24" s="15"/>
      <c r="Y24" s="67"/>
      <c r="Z24" s="67"/>
      <c r="AA24" s="67"/>
      <c r="AB24" s="67"/>
      <c r="AC24" s="67"/>
      <c r="AD24" s="67"/>
      <c r="AE24" s="67"/>
      <c r="AF24" s="67"/>
      <c r="AG24" s="67"/>
    </row>
    <row r="25" spans="1:36" x14ac:dyDescent="0.2">
      <c r="A25" s="60" t="s">
        <v>50</v>
      </c>
      <c r="B25" s="64" t="s">
        <v>43</v>
      </c>
      <c r="C25" s="62">
        <v>5</v>
      </c>
      <c r="D25" s="62">
        <v>2</v>
      </c>
      <c r="E25" s="62"/>
      <c r="F25" s="62"/>
      <c r="G25" s="62"/>
      <c r="H25" s="62"/>
      <c r="I25" s="63"/>
      <c r="J25" s="61">
        <f>IF(C25&gt;C24,1,0)+IF(D25&gt;D24,1,0)+IF(E25&gt;E24,1,0)+IF(F25&gt;F24,1,0)+IF(G25&gt;G24,1,0)+IF(H25&gt;H24,1,0)+IF(I25&gt;I24,1,0)</f>
        <v>1</v>
      </c>
      <c r="K25" s="13"/>
      <c r="M25" s="60" t="s">
        <v>50</v>
      </c>
      <c r="N25" s="64"/>
      <c r="O25" s="62"/>
      <c r="P25" s="63"/>
      <c r="Q25" s="63"/>
      <c r="R25" s="63"/>
      <c r="S25" s="63"/>
      <c r="T25" s="63"/>
      <c r="U25" s="62"/>
      <c r="V25" s="61">
        <f>IF(O25&gt;O24,1,0)+IF(P25&gt;P24,1,0)+IF(Q25&gt;Q24,1,0)+IF(R25&gt;R24,1,0)+IF(S25&gt;S24,1,0)+IF(T25&gt;T24,1,0)+IF(U25&gt;U24,1,0)</f>
        <v>0</v>
      </c>
      <c r="Y25" s="67"/>
      <c r="Z25" s="67"/>
      <c r="AA25" s="67"/>
      <c r="AB25" s="67"/>
      <c r="AC25" s="67"/>
      <c r="AD25" s="67"/>
      <c r="AE25" s="67"/>
      <c r="AF25" s="67"/>
      <c r="AG25" s="67"/>
    </row>
    <row r="26" spans="1:36" x14ac:dyDescent="0.2">
      <c r="A26" s="44"/>
      <c r="B26" s="67"/>
      <c r="C26" s="68"/>
      <c r="D26" s="68"/>
      <c r="E26" s="68"/>
      <c r="F26" s="68"/>
      <c r="G26" s="68"/>
      <c r="H26" s="68"/>
      <c r="I26" s="68"/>
      <c r="K26" s="13"/>
      <c r="M26" s="67"/>
      <c r="N26" s="67"/>
      <c r="O26" s="67"/>
      <c r="P26" s="67"/>
      <c r="Q26" s="67"/>
      <c r="R26" s="67"/>
      <c r="S26" s="67"/>
      <c r="T26" s="67"/>
      <c r="U26" s="67"/>
      <c r="Y26" s="67"/>
      <c r="Z26" s="67"/>
      <c r="AA26" s="67"/>
      <c r="AB26" s="67"/>
      <c r="AC26" s="67"/>
      <c r="AD26" s="67"/>
      <c r="AE26" s="67"/>
      <c r="AF26" s="67"/>
      <c r="AG26" s="67"/>
    </row>
    <row r="27" spans="1:36" ht="13.5" thickBot="1" x14ac:dyDescent="0.25">
      <c r="A27" s="60" t="s">
        <v>34</v>
      </c>
      <c r="B27" s="64" t="s">
        <v>61</v>
      </c>
      <c r="C27" s="62">
        <v>3</v>
      </c>
      <c r="D27" s="62">
        <v>4</v>
      </c>
      <c r="E27" s="63">
        <v>2</v>
      </c>
      <c r="F27" s="63"/>
      <c r="G27" s="62"/>
      <c r="H27" s="63"/>
      <c r="I27" s="62"/>
      <c r="J27" s="61">
        <f>IF(C27&gt;C28,1,0)+IF(D27&gt;D28,1,0)+IF(E27&gt;E28,1,0)+IF(F27&gt;F28,1,0)+IF(G27&gt;G28,1,0)+IF(H27&gt;H28,1,0)+IF(I27&gt;I28,1,0)</f>
        <v>1</v>
      </c>
      <c r="K27" s="15"/>
      <c r="M27" s="67"/>
      <c r="N27" s="67"/>
      <c r="O27" s="67"/>
      <c r="P27" s="67"/>
      <c r="Q27" s="67"/>
      <c r="R27" s="67"/>
      <c r="S27" s="67"/>
      <c r="T27" s="67"/>
      <c r="U27" s="67"/>
      <c r="Y27" s="67"/>
      <c r="Z27" s="67"/>
      <c r="AA27" s="67"/>
      <c r="AB27" s="67"/>
      <c r="AC27" s="67"/>
      <c r="AD27" s="67"/>
      <c r="AE27" s="67"/>
      <c r="AF27" s="67"/>
      <c r="AG27" s="67"/>
    </row>
    <row r="28" spans="1:36" x14ac:dyDescent="0.2">
      <c r="A28" s="60" t="s">
        <v>35</v>
      </c>
      <c r="B28" s="64" t="s">
        <v>62</v>
      </c>
      <c r="C28" s="62">
        <v>4</v>
      </c>
      <c r="D28" s="62">
        <v>2</v>
      </c>
      <c r="E28" s="62">
        <v>3</v>
      </c>
      <c r="F28" s="63"/>
      <c r="G28" s="62"/>
      <c r="H28" s="63"/>
      <c r="I28" s="62"/>
      <c r="J28" s="61">
        <f>IF(C28&gt;C27,1,0)+IF(D28&gt;D27,1,0)+IF(E28&gt;E27,1,0)+IF(F28&gt;F27,1,0)+IF(G28&gt;G27,1,0)+IF(H28&gt;H27,1,0)+IF(I28&gt;I27,1,0)</f>
        <v>2</v>
      </c>
      <c r="M28" s="1"/>
      <c r="O28" s="1"/>
      <c r="P28" s="1"/>
      <c r="Q28" s="1"/>
      <c r="R28" s="1"/>
      <c r="S28" s="1"/>
      <c r="T28" s="1"/>
      <c r="U28" s="1"/>
      <c r="Y28" s="67"/>
      <c r="Z28" s="67"/>
      <c r="AA28" s="67"/>
      <c r="AB28" s="67"/>
      <c r="AC28" s="67"/>
      <c r="AD28" s="67"/>
      <c r="AE28" s="67"/>
      <c r="AF28" s="67"/>
      <c r="AG28" s="67"/>
    </row>
    <row r="29" spans="1:36" x14ac:dyDescent="0.2">
      <c r="A29" s="44"/>
      <c r="B29" s="67"/>
      <c r="C29" s="68"/>
      <c r="D29" s="68"/>
      <c r="E29" s="68"/>
      <c r="F29" s="68"/>
      <c r="G29" s="68"/>
      <c r="H29" s="68"/>
      <c r="I29" s="68"/>
      <c r="M29" s="1"/>
      <c r="O29" s="1"/>
      <c r="P29" s="1"/>
      <c r="Q29" s="1"/>
      <c r="R29" s="1"/>
      <c r="S29" s="1"/>
      <c r="T29" s="1"/>
      <c r="U29" s="1"/>
      <c r="Y29" s="1"/>
      <c r="AA29" s="1"/>
      <c r="AB29" s="1"/>
      <c r="AC29" s="1"/>
      <c r="AD29" s="1"/>
      <c r="AE29" s="1"/>
      <c r="AF29" s="1"/>
    </row>
    <row r="30" spans="1:36" x14ac:dyDescent="0.2">
      <c r="A30" s="44"/>
      <c r="B30" s="67"/>
      <c r="C30" s="68"/>
      <c r="D30" s="68"/>
      <c r="E30" s="68"/>
      <c r="F30" s="68"/>
      <c r="G30" s="68"/>
      <c r="H30" s="68"/>
      <c r="I30" s="68"/>
      <c r="M30" s="1"/>
      <c r="O30" s="1"/>
      <c r="P30" s="1"/>
      <c r="Q30" s="1"/>
      <c r="R30" s="1"/>
      <c r="S30" s="1"/>
      <c r="T30" s="1"/>
      <c r="U30" s="1"/>
    </row>
    <row r="31" spans="1:36" x14ac:dyDescent="0.2">
      <c r="A31" s="44"/>
      <c r="C31" s="44"/>
      <c r="D31" s="44"/>
      <c r="E31" s="44"/>
      <c r="F31" s="44"/>
      <c r="G31" s="44"/>
      <c r="H31" s="44"/>
      <c r="I31" s="44"/>
      <c r="M31" s="1"/>
      <c r="O31" s="1"/>
      <c r="P31" s="1"/>
      <c r="Q31" s="1"/>
      <c r="R31" s="1"/>
      <c r="S31" s="1"/>
      <c r="T31" s="1"/>
      <c r="U31" s="1"/>
    </row>
  </sheetData>
  <phoneticPr fontId="2" type="noConversion"/>
  <conditionalFormatting sqref="C3:I3 C6:I6 AA8:AG8 C10:I10 O10:U10 C13:I13 AA15:AG15 C17:I17 O20:U20 AA22:AG22 O24:U24 C27:I27">
    <cfRule type="cellIs" dxfId="7" priority="18" stopIfTrue="1" operator="greaterThan">
      <formula>C4</formula>
    </cfRule>
  </conditionalFormatting>
  <conditionalFormatting sqref="C4:I4 C7:I7 AA9:AG9 C11:I11 O11:U11 C14:I14 AA16:AG16 C18:I18 O21:U21 AA23:AG23 O25:U25 C28:I28">
    <cfRule type="cellIs" dxfId="6" priority="17" stopIfTrue="1" operator="greaterThan">
      <formula>C3</formula>
    </cfRule>
  </conditionalFormatting>
  <conditionalFormatting sqref="C20:I20">
    <cfRule type="cellIs" dxfId="5" priority="6" stopIfTrue="1" operator="greaterThan">
      <formula>C21</formula>
    </cfRule>
  </conditionalFormatting>
  <conditionalFormatting sqref="C21:I21">
    <cfRule type="cellIs" dxfId="4" priority="5" stopIfTrue="1" operator="greaterThan">
      <formula>C20</formula>
    </cfRule>
  </conditionalFormatting>
  <conditionalFormatting sqref="C24:I24">
    <cfRule type="cellIs" dxfId="3" priority="10" stopIfTrue="1" operator="greaterThan">
      <formula>C25</formula>
    </cfRule>
  </conditionalFormatting>
  <conditionalFormatting sqref="C25:I25">
    <cfRule type="cellIs" dxfId="2" priority="9" stopIfTrue="1" operator="greaterThan">
      <formula>C24</formula>
    </cfRule>
  </conditionalFormatting>
  <conditionalFormatting sqref="O6:U6">
    <cfRule type="cellIs" dxfId="1" priority="2" stopIfTrue="1" operator="greaterThan">
      <formula>O7</formula>
    </cfRule>
  </conditionalFormatting>
  <conditionalFormatting sqref="O7:U7">
    <cfRule type="cellIs" dxfId="0" priority="1" stopIfTrue="1" operator="greaterThan">
      <formula>O6</formula>
    </cfRule>
  </conditionalFormatting>
  <pageMargins left="0.78740157480314965" right="0.78740157480314965" top="0.78740157480314965" bottom="0.78740157480314965" header="0.39370078740157483" footer="0.39370078740157483"/>
  <pageSetup paperSize="5" orientation="landscape" r:id="rId1"/>
  <headerFooter alignWithMargins="0">
    <oddHeader>&amp;L&amp;20Séries éliminatoires&amp;R
Dernière mise à jour: &amp;D -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EB04-0219-41DB-960E-AB532E8842E9}">
  <dimension ref="A1"/>
  <sheetViews>
    <sheetView workbookViewId="0">
      <selection activeCell="L51" sqref="L5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Pool</vt:lpstr>
      <vt:lpstr>Résultats</vt:lpstr>
      <vt:lpstr>Règlements</vt:lpstr>
      <vt:lpstr>PT_PREDICTION_EQUIPE_R1</vt:lpstr>
      <vt:lpstr>PT_PREDICTION_EQUIPE_R2</vt:lpstr>
      <vt:lpstr>PT_PREDICTION_EQUIPE_R3</vt:lpstr>
      <vt:lpstr>PT_PREDICTION_EQUIPE_R4</vt:lpstr>
      <vt:lpstr>PT_PREDICTION_NB_PARTIES_R1</vt:lpstr>
      <vt:lpstr>PT_PREDICTION_NB_PARTIES_R2</vt:lpstr>
      <vt:lpstr>PT_PREDICTION_NB_PARTIES_R3</vt:lpstr>
      <vt:lpstr>PT_PREDICTION_NB_PARTIES_R4</vt:lpstr>
      <vt:lpstr>PT_VICTOIRE_R1</vt:lpstr>
      <vt:lpstr>PT_VICTOIRE_R2</vt:lpstr>
      <vt:lpstr>PT_VICTOIRE_R3</vt:lpstr>
      <vt:lpstr>PT_VICTOIRE_R4</vt:lpstr>
    </vt:vector>
  </TitlesOfParts>
  <Company>Ville de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Alexandre Levac</dc:creator>
  <cp:lastModifiedBy>Raymond Tiefengraber</cp:lastModifiedBy>
  <cp:lastPrinted>2023-04-22T19:25:30Z</cp:lastPrinted>
  <dcterms:created xsi:type="dcterms:W3CDTF">2007-04-21T15:38:41Z</dcterms:created>
  <dcterms:modified xsi:type="dcterms:W3CDTF">2023-04-22T19:32:13Z</dcterms:modified>
</cp:coreProperties>
</file>