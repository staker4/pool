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.tiefengraber\OneDrive\Documents\Ville de Laval\Pool hockey\Séries 2017-2018\"/>
    </mc:Choice>
  </mc:AlternateContent>
  <bookViews>
    <workbookView xWindow="0" yWindow="0" windowWidth="18870" windowHeight="7575"/>
  </bookViews>
  <sheets>
    <sheet name="Pool - Ville de Laval" sheetId="16" r:id="rId1"/>
    <sheet name="Résultats" sheetId="7" r:id="rId2"/>
  </sheets>
  <definedNames>
    <definedName name="_xlnm._FilterDatabase" localSheetId="0" hidden="1">'Pool - Ville de Laval'!$B$10:$AL$66</definedName>
    <definedName name="PT_PREDICTION_EQUIPE_R1">'Pool - Ville de Laval'!$O$90</definedName>
    <definedName name="PT_PREDICTION_EQUIPE_R2">'Pool - Ville de Laval'!$P$90</definedName>
    <definedName name="PT_PREDICTION_EQUIPE_R3">'Pool - Ville de Laval'!$Q$90</definedName>
    <definedName name="PT_PREDICTION_EQUIPE_R4">'Pool - Ville de Laval'!$R$90</definedName>
    <definedName name="PT_PREDICTION_NB_PARTIES_R1">'Pool - Ville de Laval'!$O$91</definedName>
    <definedName name="PT_PREDICTION_NB_PARTIES_R2">'Pool - Ville de Laval'!$P$91</definedName>
    <definedName name="PT_PREDICTION_NB_PARTIES_R3">'Pool - Ville de Laval'!$Q$91</definedName>
    <definedName name="PT_PREDICTION_NB_PARTIES_R4">'Pool - Ville de Laval'!$R$91</definedName>
    <definedName name="PT_VICTOIRE_R1">'Pool - Ville de Laval'!$O$92</definedName>
    <definedName name="PT_VICTOIRE_R2">'Pool - Ville de Laval'!$P$92</definedName>
    <definedName name="PT_VICTOIRE_R3">'Pool - Ville de Laval'!$Q$92</definedName>
    <definedName name="PT_VICTOIRE_R4">'Pool - Ville de Laval'!$R$92</definedName>
  </definedNames>
  <calcPr calcId="162913"/>
</workbook>
</file>

<file path=xl/calcChain.xml><?xml version="1.0" encoding="utf-8"?>
<calcChain xmlns="http://schemas.openxmlformats.org/spreadsheetml/2006/main">
  <c r="AI85" i="16" l="1"/>
  <c r="AH85" i="16"/>
  <c r="AF85" i="16"/>
  <c r="AD85" i="16"/>
  <c r="AC85" i="16"/>
  <c r="AA85" i="16"/>
  <c r="Y85" i="16"/>
  <c r="X85" i="16"/>
  <c r="W85" i="16"/>
  <c r="U85" i="16"/>
  <c r="T85" i="16"/>
  <c r="R85" i="16"/>
  <c r="P85" i="16"/>
  <c r="O85" i="16"/>
  <c r="N85" i="16"/>
  <c r="L85" i="16"/>
  <c r="K85" i="16"/>
  <c r="J85" i="16"/>
  <c r="H85" i="16"/>
  <c r="G85" i="16"/>
  <c r="F85" i="16"/>
  <c r="D85" i="16"/>
  <c r="C85" i="16"/>
  <c r="AI84" i="16"/>
  <c r="AH84" i="16"/>
  <c r="AF84" i="16"/>
  <c r="AE84" i="16"/>
  <c r="AE85" i="16" s="1"/>
  <c r="AD84" i="16"/>
  <c r="AC84" i="16"/>
  <c r="AA84" i="16"/>
  <c r="Z84" i="16"/>
  <c r="Z85" i="16" s="1"/>
  <c r="Y84" i="16"/>
  <c r="X84" i="16"/>
  <c r="W84" i="16"/>
  <c r="V84" i="16"/>
  <c r="V85" i="16" s="1"/>
  <c r="U84" i="16"/>
  <c r="T84" i="16"/>
  <c r="R84" i="16"/>
  <c r="Q84" i="16"/>
  <c r="Q85" i="16" s="1"/>
  <c r="P84" i="16"/>
  <c r="O84" i="16"/>
  <c r="N84" i="16"/>
  <c r="M84" i="16"/>
  <c r="M85" i="16" s="1"/>
  <c r="L84" i="16"/>
  <c r="K84" i="16"/>
  <c r="J84" i="16"/>
  <c r="I84" i="16"/>
  <c r="I85" i="16" s="1"/>
  <c r="H84" i="16"/>
  <c r="G84" i="16"/>
  <c r="F84" i="16"/>
  <c r="E84" i="16"/>
  <c r="E85" i="16" s="1"/>
  <c r="D84" i="16"/>
  <c r="C84" i="16"/>
  <c r="AI81" i="16"/>
  <c r="AF81" i="16"/>
  <c r="AD81" i="16"/>
  <c r="AA81" i="16"/>
  <c r="Y81" i="16"/>
  <c r="W81" i="16"/>
  <c r="U81" i="16"/>
  <c r="R81" i="16"/>
  <c r="P81" i="16"/>
  <c r="N81" i="16"/>
  <c r="L81" i="16"/>
  <c r="J81" i="16"/>
  <c r="H81" i="16"/>
  <c r="F81" i="16"/>
  <c r="D81" i="16"/>
  <c r="AI80" i="16"/>
  <c r="AH80" i="16"/>
  <c r="AH81" i="16" s="1"/>
  <c r="AF80" i="16"/>
  <c r="AE80" i="16"/>
  <c r="AE81" i="16" s="1"/>
  <c r="AD80" i="16"/>
  <c r="AC80" i="16"/>
  <c r="AC81" i="16" s="1"/>
  <c r="AA80" i="16"/>
  <c r="Z80" i="16"/>
  <c r="Z81" i="16" s="1"/>
  <c r="Y80" i="16"/>
  <c r="X80" i="16"/>
  <c r="X81" i="16" s="1"/>
  <c r="W80" i="16"/>
  <c r="V80" i="16"/>
  <c r="V81" i="16" s="1"/>
  <c r="U80" i="16"/>
  <c r="T80" i="16"/>
  <c r="T81" i="16" s="1"/>
  <c r="R80" i="16"/>
  <c r="Q80" i="16"/>
  <c r="Q81" i="16" s="1"/>
  <c r="P80" i="16"/>
  <c r="O80" i="16"/>
  <c r="O81" i="16" s="1"/>
  <c r="N80" i="16"/>
  <c r="M80" i="16"/>
  <c r="M81" i="16" s="1"/>
  <c r="L80" i="16"/>
  <c r="K80" i="16"/>
  <c r="K81" i="16" s="1"/>
  <c r="J80" i="16"/>
  <c r="I80" i="16"/>
  <c r="I81" i="16" s="1"/>
  <c r="H80" i="16"/>
  <c r="G80" i="16"/>
  <c r="G81" i="16" s="1"/>
  <c r="F80" i="16"/>
  <c r="E80" i="16"/>
  <c r="E81" i="16" s="1"/>
  <c r="D80" i="16"/>
  <c r="C80" i="16"/>
  <c r="C81" i="16" s="1"/>
  <c r="AK81" i="16" s="1"/>
  <c r="AH77" i="16"/>
  <c r="AF77" i="16"/>
  <c r="AC77" i="16"/>
  <c r="AA77" i="16"/>
  <c r="X77" i="16"/>
  <c r="W77" i="16"/>
  <c r="T77" i="16"/>
  <c r="R77" i="16"/>
  <c r="O77" i="16"/>
  <c r="N77" i="16"/>
  <c r="K77" i="16"/>
  <c r="J77" i="16"/>
  <c r="G77" i="16"/>
  <c r="F77" i="16"/>
  <c r="C77" i="16"/>
  <c r="AI76" i="16"/>
  <c r="AI77" i="16" s="1"/>
  <c r="AH76" i="16"/>
  <c r="AF76" i="16"/>
  <c r="AE76" i="16"/>
  <c r="AE77" i="16" s="1"/>
  <c r="AD76" i="16"/>
  <c r="AD77" i="16" s="1"/>
  <c r="AC76" i="16"/>
  <c r="AA76" i="16"/>
  <c r="Z76" i="16"/>
  <c r="Z77" i="16" s="1"/>
  <c r="Y76" i="16"/>
  <c r="Y77" i="16" s="1"/>
  <c r="X76" i="16"/>
  <c r="W76" i="16"/>
  <c r="V76" i="16"/>
  <c r="V77" i="16" s="1"/>
  <c r="U76" i="16"/>
  <c r="U77" i="16" s="1"/>
  <c r="T76" i="16"/>
  <c r="R76" i="16"/>
  <c r="Q76" i="16"/>
  <c r="Q77" i="16" s="1"/>
  <c r="P76" i="16"/>
  <c r="P77" i="16" s="1"/>
  <c r="O76" i="16"/>
  <c r="N76" i="16"/>
  <c r="M76" i="16"/>
  <c r="M77" i="16" s="1"/>
  <c r="L76" i="16"/>
  <c r="L77" i="16" s="1"/>
  <c r="K76" i="16"/>
  <c r="J76" i="16"/>
  <c r="I76" i="16"/>
  <c r="I77" i="16" s="1"/>
  <c r="H76" i="16"/>
  <c r="H77" i="16" s="1"/>
  <c r="G76" i="16"/>
  <c r="F76" i="16"/>
  <c r="E76" i="16"/>
  <c r="E77" i="16" s="1"/>
  <c r="D76" i="16"/>
  <c r="D77" i="16" s="1"/>
  <c r="C76" i="16"/>
  <c r="AH73" i="16"/>
  <c r="AF73" i="16"/>
  <c r="AC73" i="16"/>
  <c r="AA73" i="16"/>
  <c r="X73" i="16"/>
  <c r="W73" i="16"/>
  <c r="T73" i="16"/>
  <c r="R73" i="16"/>
  <c r="O73" i="16"/>
  <c r="N73" i="16"/>
  <c r="K73" i="16"/>
  <c r="J73" i="16"/>
  <c r="G73" i="16"/>
  <c r="F73" i="16"/>
  <c r="C73" i="16"/>
  <c r="AI72" i="16"/>
  <c r="AI73" i="16" s="1"/>
  <c r="AH72" i="16"/>
  <c r="AF72" i="16"/>
  <c r="AE72" i="16"/>
  <c r="AE73" i="16" s="1"/>
  <c r="AD72" i="16"/>
  <c r="AD73" i="16" s="1"/>
  <c r="AC72" i="16"/>
  <c r="AA72" i="16"/>
  <c r="Z72" i="16"/>
  <c r="Z73" i="16" s="1"/>
  <c r="Y72" i="16"/>
  <c r="Y73" i="16" s="1"/>
  <c r="X72" i="16"/>
  <c r="W72" i="16"/>
  <c r="V72" i="16"/>
  <c r="V73" i="16" s="1"/>
  <c r="U72" i="16"/>
  <c r="U73" i="16" s="1"/>
  <c r="T72" i="16"/>
  <c r="R72" i="16"/>
  <c r="Q72" i="16"/>
  <c r="Q73" i="16" s="1"/>
  <c r="P72" i="16"/>
  <c r="P73" i="16" s="1"/>
  <c r="O72" i="16"/>
  <c r="N72" i="16"/>
  <c r="M72" i="16"/>
  <c r="M73" i="16" s="1"/>
  <c r="L72" i="16"/>
  <c r="L73" i="16" s="1"/>
  <c r="K72" i="16"/>
  <c r="J72" i="16"/>
  <c r="I72" i="16"/>
  <c r="I73" i="16" s="1"/>
  <c r="H72" i="16"/>
  <c r="H73" i="16" s="1"/>
  <c r="G72" i="16"/>
  <c r="F72" i="16"/>
  <c r="E72" i="16"/>
  <c r="E73" i="16" s="1"/>
  <c r="D72" i="16"/>
  <c r="D73" i="16" s="1"/>
  <c r="C72" i="16"/>
  <c r="AH69" i="16"/>
  <c r="AF69" i="16"/>
  <c r="AC69" i="16"/>
  <c r="AA69" i="16"/>
  <c r="X69" i="16"/>
  <c r="W69" i="16"/>
  <c r="T69" i="16"/>
  <c r="R69" i="16"/>
  <c r="O69" i="16"/>
  <c r="N69" i="16"/>
  <c r="K69" i="16"/>
  <c r="J69" i="16"/>
  <c r="G69" i="16"/>
  <c r="F69" i="16"/>
  <c r="C69" i="16"/>
  <c r="AI68" i="16"/>
  <c r="AI69" i="16" s="1"/>
  <c r="AH68" i="16"/>
  <c r="AF68" i="16"/>
  <c r="AE68" i="16"/>
  <c r="AE69" i="16" s="1"/>
  <c r="AD68" i="16"/>
  <c r="AD69" i="16" s="1"/>
  <c r="AC68" i="16"/>
  <c r="AA68" i="16"/>
  <c r="Z68" i="16"/>
  <c r="Z69" i="16" s="1"/>
  <c r="Y68" i="16"/>
  <c r="Y69" i="16" s="1"/>
  <c r="X68" i="16"/>
  <c r="W68" i="16"/>
  <c r="V68" i="16"/>
  <c r="V69" i="16" s="1"/>
  <c r="U68" i="16"/>
  <c r="U69" i="16" s="1"/>
  <c r="T68" i="16"/>
  <c r="R68" i="16"/>
  <c r="Q68" i="16"/>
  <c r="Q69" i="16" s="1"/>
  <c r="P68" i="16"/>
  <c r="P69" i="16" s="1"/>
  <c r="O68" i="16"/>
  <c r="N68" i="16"/>
  <c r="M68" i="16"/>
  <c r="M69" i="16" s="1"/>
  <c r="L68" i="16"/>
  <c r="L69" i="16" s="1"/>
  <c r="K68" i="16"/>
  <c r="J68" i="16"/>
  <c r="I68" i="16"/>
  <c r="I69" i="16" s="1"/>
  <c r="H68" i="16"/>
  <c r="H69" i="16" s="1"/>
  <c r="G68" i="16"/>
  <c r="F68" i="16"/>
  <c r="E68" i="16"/>
  <c r="E69" i="16" s="1"/>
  <c r="D68" i="16"/>
  <c r="D69" i="16" s="1"/>
  <c r="C68" i="16"/>
  <c r="AH65" i="16"/>
  <c r="AF65" i="16"/>
  <c r="AC65" i="16"/>
  <c r="AA65" i="16"/>
  <c r="X65" i="16"/>
  <c r="W65" i="16"/>
  <c r="T65" i="16"/>
  <c r="R65" i="16"/>
  <c r="O65" i="16"/>
  <c r="N65" i="16"/>
  <c r="K65" i="16"/>
  <c r="J65" i="16"/>
  <c r="G65" i="16"/>
  <c r="F65" i="16"/>
  <c r="C65" i="16"/>
  <c r="AI64" i="16"/>
  <c r="AI65" i="16" s="1"/>
  <c r="AH64" i="16"/>
  <c r="AF64" i="16"/>
  <c r="AE64" i="16"/>
  <c r="AE65" i="16" s="1"/>
  <c r="AD64" i="16"/>
  <c r="AD65" i="16" s="1"/>
  <c r="AC64" i="16"/>
  <c r="AA64" i="16"/>
  <c r="Z64" i="16"/>
  <c r="Z65" i="16" s="1"/>
  <c r="Y64" i="16"/>
  <c r="Y65" i="16" s="1"/>
  <c r="X64" i="16"/>
  <c r="W64" i="16"/>
  <c r="V64" i="16"/>
  <c r="V65" i="16" s="1"/>
  <c r="U64" i="16"/>
  <c r="U65" i="16" s="1"/>
  <c r="T64" i="16"/>
  <c r="R64" i="16"/>
  <c r="Q64" i="16"/>
  <c r="Q65" i="16" s="1"/>
  <c r="P64" i="16"/>
  <c r="P65" i="16" s="1"/>
  <c r="O64" i="16"/>
  <c r="N64" i="16"/>
  <c r="M64" i="16"/>
  <c r="M65" i="16" s="1"/>
  <c r="L64" i="16"/>
  <c r="L65" i="16" s="1"/>
  <c r="K64" i="16"/>
  <c r="J64" i="16"/>
  <c r="I64" i="16"/>
  <c r="I65" i="16" s="1"/>
  <c r="H64" i="16"/>
  <c r="H65" i="16" s="1"/>
  <c r="G64" i="16"/>
  <c r="F64" i="16"/>
  <c r="E64" i="16"/>
  <c r="E65" i="16" s="1"/>
  <c r="D64" i="16"/>
  <c r="D65" i="16" s="1"/>
  <c r="C64" i="16"/>
  <c r="AH61" i="16"/>
  <c r="AF61" i="16"/>
  <c r="AC61" i="16"/>
  <c r="AA61" i="16"/>
  <c r="X61" i="16"/>
  <c r="W61" i="16"/>
  <c r="T61" i="16"/>
  <c r="R61" i="16"/>
  <c r="O61" i="16"/>
  <c r="N61" i="16"/>
  <c r="K61" i="16"/>
  <c r="J61" i="16"/>
  <c r="G61" i="16"/>
  <c r="F61" i="16"/>
  <c r="C61" i="16"/>
  <c r="AI60" i="16"/>
  <c r="AI61" i="16" s="1"/>
  <c r="AH60" i="16"/>
  <c r="AF60" i="16"/>
  <c r="AE60" i="16"/>
  <c r="AE61" i="16" s="1"/>
  <c r="AD60" i="16"/>
  <c r="AD61" i="16" s="1"/>
  <c r="AC60" i="16"/>
  <c r="AA60" i="16"/>
  <c r="Z60" i="16"/>
  <c r="Z61" i="16" s="1"/>
  <c r="Y60" i="16"/>
  <c r="Y61" i="16" s="1"/>
  <c r="X60" i="16"/>
  <c r="W60" i="16"/>
  <c r="V60" i="16"/>
  <c r="V61" i="16" s="1"/>
  <c r="U60" i="16"/>
  <c r="U61" i="16" s="1"/>
  <c r="T60" i="16"/>
  <c r="R60" i="16"/>
  <c r="Q60" i="16"/>
  <c r="Q61" i="16" s="1"/>
  <c r="P60" i="16"/>
  <c r="P61" i="16" s="1"/>
  <c r="O60" i="16"/>
  <c r="N60" i="16"/>
  <c r="M60" i="16"/>
  <c r="M61" i="16" s="1"/>
  <c r="L60" i="16"/>
  <c r="L61" i="16" s="1"/>
  <c r="K60" i="16"/>
  <c r="J60" i="16"/>
  <c r="I60" i="16"/>
  <c r="I61" i="16" s="1"/>
  <c r="H60" i="16"/>
  <c r="H61" i="16" s="1"/>
  <c r="G60" i="16"/>
  <c r="F60" i="16"/>
  <c r="E60" i="16"/>
  <c r="E61" i="16" s="1"/>
  <c r="D60" i="16"/>
  <c r="D61" i="16" s="1"/>
  <c r="C60" i="16"/>
  <c r="AH57" i="16"/>
  <c r="AF57" i="16"/>
  <c r="AC57" i="16"/>
  <c r="AA57" i="16"/>
  <c r="X57" i="16"/>
  <c r="W57" i="16"/>
  <c r="T57" i="16"/>
  <c r="R57" i="16"/>
  <c r="O57" i="16"/>
  <c r="N57" i="16"/>
  <c r="K57" i="16"/>
  <c r="J57" i="16"/>
  <c r="G57" i="16"/>
  <c r="F57" i="16"/>
  <c r="C57" i="16"/>
  <c r="AI56" i="16"/>
  <c r="AI57" i="16" s="1"/>
  <c r="AH56" i="16"/>
  <c r="AF56" i="16"/>
  <c r="AE56" i="16"/>
  <c r="AE57" i="16" s="1"/>
  <c r="AD56" i="16"/>
  <c r="AD57" i="16" s="1"/>
  <c r="AC56" i="16"/>
  <c r="AA56" i="16"/>
  <c r="Z56" i="16"/>
  <c r="Z57" i="16" s="1"/>
  <c r="Y56" i="16"/>
  <c r="Y57" i="16" s="1"/>
  <c r="X56" i="16"/>
  <c r="W56" i="16"/>
  <c r="V56" i="16"/>
  <c r="V57" i="16" s="1"/>
  <c r="U56" i="16"/>
  <c r="U57" i="16" s="1"/>
  <c r="T56" i="16"/>
  <c r="R56" i="16"/>
  <c r="Q56" i="16"/>
  <c r="Q57" i="16" s="1"/>
  <c r="P56" i="16"/>
  <c r="P57" i="16" s="1"/>
  <c r="O56" i="16"/>
  <c r="N56" i="16"/>
  <c r="M56" i="16"/>
  <c r="M57" i="16" s="1"/>
  <c r="L56" i="16"/>
  <c r="L57" i="16" s="1"/>
  <c r="K56" i="16"/>
  <c r="J56" i="16"/>
  <c r="I56" i="16"/>
  <c r="I57" i="16" s="1"/>
  <c r="H56" i="16"/>
  <c r="H57" i="16" s="1"/>
  <c r="G56" i="16"/>
  <c r="F56" i="16"/>
  <c r="E56" i="16"/>
  <c r="E57" i="16" s="1"/>
  <c r="D56" i="16"/>
  <c r="D57" i="16" s="1"/>
  <c r="C56" i="16"/>
  <c r="AH53" i="16"/>
  <c r="AF53" i="16"/>
  <c r="AC53" i="16"/>
  <c r="AA53" i="16"/>
  <c r="X53" i="16"/>
  <c r="W53" i="16"/>
  <c r="T53" i="16"/>
  <c r="R53" i="16"/>
  <c r="O53" i="16"/>
  <c r="N53" i="16"/>
  <c r="K53" i="16"/>
  <c r="J53" i="16"/>
  <c r="G53" i="16"/>
  <c r="F53" i="16"/>
  <c r="C53" i="16"/>
  <c r="AI52" i="16"/>
  <c r="AI53" i="16" s="1"/>
  <c r="AH52" i="16"/>
  <c r="AF52" i="16"/>
  <c r="AE52" i="16"/>
  <c r="AE53" i="16" s="1"/>
  <c r="AD52" i="16"/>
  <c r="AD53" i="16" s="1"/>
  <c r="AC52" i="16"/>
  <c r="AA52" i="16"/>
  <c r="Z52" i="16"/>
  <c r="Z53" i="16" s="1"/>
  <c r="Y52" i="16"/>
  <c r="Y53" i="16" s="1"/>
  <c r="X52" i="16"/>
  <c r="W52" i="16"/>
  <c r="V52" i="16"/>
  <c r="V53" i="16" s="1"/>
  <c r="U52" i="16"/>
  <c r="U53" i="16" s="1"/>
  <c r="T52" i="16"/>
  <c r="R52" i="16"/>
  <c r="Q52" i="16"/>
  <c r="Q53" i="16" s="1"/>
  <c r="P52" i="16"/>
  <c r="P53" i="16" s="1"/>
  <c r="O52" i="16"/>
  <c r="N52" i="16"/>
  <c r="M52" i="16"/>
  <c r="M53" i="16" s="1"/>
  <c r="L52" i="16"/>
  <c r="L53" i="16" s="1"/>
  <c r="K52" i="16"/>
  <c r="J52" i="16"/>
  <c r="I52" i="16"/>
  <c r="I53" i="16" s="1"/>
  <c r="H52" i="16"/>
  <c r="H53" i="16" s="1"/>
  <c r="G52" i="16"/>
  <c r="F52" i="16"/>
  <c r="E52" i="16"/>
  <c r="E53" i="16" s="1"/>
  <c r="D52" i="16"/>
  <c r="D53" i="16" s="1"/>
  <c r="C52" i="16"/>
  <c r="AF49" i="16"/>
  <c r="AA49" i="16"/>
  <c r="W49" i="16"/>
  <c r="R49" i="16"/>
  <c r="N49" i="16"/>
  <c r="J49" i="16"/>
  <c r="F49" i="16"/>
  <c r="AI48" i="16"/>
  <c r="AI49" i="16" s="1"/>
  <c r="AH48" i="16"/>
  <c r="AH49" i="16" s="1"/>
  <c r="AF48" i="16"/>
  <c r="AE48" i="16"/>
  <c r="AE49" i="16" s="1"/>
  <c r="AD48" i="16"/>
  <c r="AD49" i="16" s="1"/>
  <c r="AC48" i="16"/>
  <c r="AC49" i="16" s="1"/>
  <c r="AA48" i="16"/>
  <c r="Z48" i="16"/>
  <c r="Z49" i="16" s="1"/>
  <c r="Y48" i="16"/>
  <c r="Y49" i="16" s="1"/>
  <c r="X48" i="16"/>
  <c r="X49" i="16" s="1"/>
  <c r="W48" i="16"/>
  <c r="V48" i="16"/>
  <c r="V49" i="16" s="1"/>
  <c r="U48" i="16"/>
  <c r="U49" i="16" s="1"/>
  <c r="T48" i="16"/>
  <c r="T49" i="16" s="1"/>
  <c r="R48" i="16"/>
  <c r="Q48" i="16"/>
  <c r="Q49" i="16" s="1"/>
  <c r="P48" i="16"/>
  <c r="P49" i="16" s="1"/>
  <c r="O48" i="16"/>
  <c r="O49" i="16" s="1"/>
  <c r="N48" i="16"/>
  <c r="M48" i="16"/>
  <c r="M49" i="16" s="1"/>
  <c r="L48" i="16"/>
  <c r="L49" i="16" s="1"/>
  <c r="K48" i="16"/>
  <c r="K49" i="16" s="1"/>
  <c r="J48" i="16"/>
  <c r="I48" i="16"/>
  <c r="I49" i="16" s="1"/>
  <c r="H48" i="16"/>
  <c r="H49" i="16" s="1"/>
  <c r="G48" i="16"/>
  <c r="G49" i="16" s="1"/>
  <c r="F48" i="16"/>
  <c r="E48" i="16"/>
  <c r="E49" i="16" s="1"/>
  <c r="D48" i="16"/>
  <c r="D49" i="16" s="1"/>
  <c r="C48" i="16"/>
  <c r="C49" i="16" s="1"/>
  <c r="AH45" i="16"/>
  <c r="AF45" i="16"/>
  <c r="AC45" i="16"/>
  <c r="AA45" i="16"/>
  <c r="X45" i="16"/>
  <c r="W45" i="16"/>
  <c r="T45" i="16"/>
  <c r="R45" i="16"/>
  <c r="O45" i="16"/>
  <c r="N45" i="16"/>
  <c r="K45" i="16"/>
  <c r="J45" i="16"/>
  <c r="G45" i="16"/>
  <c r="F45" i="16"/>
  <c r="C45" i="16"/>
  <c r="AI44" i="16"/>
  <c r="AI45" i="16" s="1"/>
  <c r="AH44" i="16"/>
  <c r="AF44" i="16"/>
  <c r="AE44" i="16"/>
  <c r="AE45" i="16" s="1"/>
  <c r="AD44" i="16"/>
  <c r="AD45" i="16" s="1"/>
  <c r="AC44" i="16"/>
  <c r="AA44" i="16"/>
  <c r="Z44" i="16"/>
  <c r="Z45" i="16" s="1"/>
  <c r="Y44" i="16"/>
  <c r="Y45" i="16" s="1"/>
  <c r="X44" i="16"/>
  <c r="W44" i="16"/>
  <c r="V44" i="16"/>
  <c r="V45" i="16" s="1"/>
  <c r="U44" i="16"/>
  <c r="U45" i="16" s="1"/>
  <c r="T44" i="16"/>
  <c r="R44" i="16"/>
  <c r="Q44" i="16"/>
  <c r="Q45" i="16" s="1"/>
  <c r="P44" i="16"/>
  <c r="P45" i="16" s="1"/>
  <c r="O44" i="16"/>
  <c r="N44" i="16"/>
  <c r="M44" i="16"/>
  <c r="M45" i="16" s="1"/>
  <c r="L44" i="16"/>
  <c r="L45" i="16" s="1"/>
  <c r="K44" i="16"/>
  <c r="J44" i="16"/>
  <c r="I44" i="16"/>
  <c r="I45" i="16" s="1"/>
  <c r="H44" i="16"/>
  <c r="H45" i="16" s="1"/>
  <c r="G44" i="16"/>
  <c r="F44" i="16"/>
  <c r="E44" i="16"/>
  <c r="E45" i="16" s="1"/>
  <c r="D44" i="16"/>
  <c r="D45" i="16" s="1"/>
  <c r="C44" i="16"/>
  <c r="AF41" i="16"/>
  <c r="AA41" i="16"/>
  <c r="W41" i="16"/>
  <c r="R41" i="16"/>
  <c r="N41" i="16"/>
  <c r="J41" i="16"/>
  <c r="F41" i="16"/>
  <c r="AI40" i="16"/>
  <c r="AI41" i="16" s="1"/>
  <c r="AH40" i="16"/>
  <c r="AH41" i="16" s="1"/>
  <c r="AF40" i="16"/>
  <c r="AE40" i="16"/>
  <c r="AE41" i="16" s="1"/>
  <c r="AD40" i="16"/>
  <c r="AD41" i="16" s="1"/>
  <c r="AC40" i="16"/>
  <c r="AC41" i="16" s="1"/>
  <c r="AA40" i="16"/>
  <c r="Z40" i="16"/>
  <c r="Z41" i="16" s="1"/>
  <c r="Y40" i="16"/>
  <c r="Y41" i="16" s="1"/>
  <c r="X40" i="16"/>
  <c r="X41" i="16" s="1"/>
  <c r="W40" i="16"/>
  <c r="V40" i="16"/>
  <c r="V41" i="16" s="1"/>
  <c r="U40" i="16"/>
  <c r="U41" i="16" s="1"/>
  <c r="T40" i="16"/>
  <c r="T41" i="16" s="1"/>
  <c r="R40" i="16"/>
  <c r="Q40" i="16"/>
  <c r="Q41" i="16" s="1"/>
  <c r="P40" i="16"/>
  <c r="P41" i="16" s="1"/>
  <c r="O40" i="16"/>
  <c r="O41" i="16" s="1"/>
  <c r="N40" i="16"/>
  <c r="M40" i="16"/>
  <c r="M41" i="16" s="1"/>
  <c r="L40" i="16"/>
  <c r="L41" i="16" s="1"/>
  <c r="K40" i="16"/>
  <c r="K41" i="16" s="1"/>
  <c r="J40" i="16"/>
  <c r="I40" i="16"/>
  <c r="I41" i="16" s="1"/>
  <c r="H40" i="16"/>
  <c r="H41" i="16" s="1"/>
  <c r="G40" i="16"/>
  <c r="G41" i="16" s="1"/>
  <c r="F40" i="16"/>
  <c r="E40" i="16"/>
  <c r="E41" i="16" s="1"/>
  <c r="D40" i="16"/>
  <c r="D41" i="16" s="1"/>
  <c r="C40" i="16"/>
  <c r="C41" i="16" s="1"/>
  <c r="AH37" i="16"/>
  <c r="AF37" i="16"/>
  <c r="AC37" i="16"/>
  <c r="AA37" i="16"/>
  <c r="X37" i="16"/>
  <c r="W37" i="16"/>
  <c r="T37" i="16"/>
  <c r="R37" i="16"/>
  <c r="O37" i="16"/>
  <c r="N37" i="16"/>
  <c r="K37" i="16"/>
  <c r="J37" i="16"/>
  <c r="G37" i="16"/>
  <c r="F37" i="16"/>
  <c r="C37" i="16"/>
  <c r="AI36" i="16"/>
  <c r="AI37" i="16" s="1"/>
  <c r="AH36" i="16"/>
  <c r="AF36" i="16"/>
  <c r="AE36" i="16"/>
  <c r="AE37" i="16" s="1"/>
  <c r="AD36" i="16"/>
  <c r="AD37" i="16" s="1"/>
  <c r="AC36" i="16"/>
  <c r="AA36" i="16"/>
  <c r="Z36" i="16"/>
  <c r="Z37" i="16" s="1"/>
  <c r="Y36" i="16"/>
  <c r="Y37" i="16" s="1"/>
  <c r="X36" i="16"/>
  <c r="W36" i="16"/>
  <c r="V36" i="16"/>
  <c r="V37" i="16" s="1"/>
  <c r="U36" i="16"/>
  <c r="U37" i="16" s="1"/>
  <c r="T36" i="16"/>
  <c r="R36" i="16"/>
  <c r="Q36" i="16"/>
  <c r="Q37" i="16" s="1"/>
  <c r="P36" i="16"/>
  <c r="P37" i="16" s="1"/>
  <c r="O36" i="16"/>
  <c r="N36" i="16"/>
  <c r="M36" i="16"/>
  <c r="M37" i="16" s="1"/>
  <c r="L36" i="16"/>
  <c r="L37" i="16" s="1"/>
  <c r="K36" i="16"/>
  <c r="J36" i="16"/>
  <c r="I36" i="16"/>
  <c r="I37" i="16" s="1"/>
  <c r="H36" i="16"/>
  <c r="H37" i="16" s="1"/>
  <c r="G36" i="16"/>
  <c r="F36" i="16"/>
  <c r="E36" i="16"/>
  <c r="E37" i="16" s="1"/>
  <c r="D36" i="16"/>
  <c r="D37" i="16" s="1"/>
  <c r="C36" i="16"/>
  <c r="AF33" i="16"/>
  <c r="W33" i="16"/>
  <c r="R33" i="16"/>
  <c r="N33" i="16"/>
  <c r="J33" i="16"/>
  <c r="F33" i="16"/>
  <c r="AI32" i="16"/>
  <c r="AI33" i="16" s="1"/>
  <c r="AF32" i="16"/>
  <c r="AC32" i="16"/>
  <c r="AC33" i="16" s="1"/>
  <c r="Z32" i="16"/>
  <c r="Z33" i="16" s="1"/>
  <c r="X32" i="16"/>
  <c r="X33" i="16" s="1"/>
  <c r="W32" i="16"/>
  <c r="U32" i="16"/>
  <c r="U33" i="16" s="1"/>
  <c r="R32" i="16"/>
  <c r="O32" i="16"/>
  <c r="O33" i="16" s="1"/>
  <c r="N32" i="16"/>
  <c r="L32" i="16"/>
  <c r="L33" i="16" s="1"/>
  <c r="J32" i="16"/>
  <c r="H32" i="16"/>
  <c r="H33" i="16" s="1"/>
  <c r="F32" i="16"/>
  <c r="D32" i="16"/>
  <c r="D33" i="16" s="1"/>
  <c r="AA29" i="16"/>
  <c r="R29" i="16"/>
  <c r="J29" i="16"/>
  <c r="AH28" i="16"/>
  <c r="AH29" i="16" s="1"/>
  <c r="AE28" i="16"/>
  <c r="AE29" i="16" s="1"/>
  <c r="AC28" i="16"/>
  <c r="AC29" i="16" s="1"/>
  <c r="AA28" i="16"/>
  <c r="Y28" i="16"/>
  <c r="Y29" i="16" s="1"/>
  <c r="V28" i="16"/>
  <c r="V29" i="16" s="1"/>
  <c r="U28" i="16"/>
  <c r="U29" i="16" s="1"/>
  <c r="R28" i="16"/>
  <c r="P28" i="16"/>
  <c r="P29" i="16" s="1"/>
  <c r="M28" i="16"/>
  <c r="M29" i="16" s="1"/>
  <c r="L28" i="16"/>
  <c r="L29" i="16" s="1"/>
  <c r="J28" i="16"/>
  <c r="H28" i="16"/>
  <c r="H29" i="16" s="1"/>
  <c r="F28" i="16"/>
  <c r="F29" i="16" s="1"/>
  <c r="D28" i="16"/>
  <c r="D29" i="16" s="1"/>
  <c r="AI24" i="16"/>
  <c r="AI25" i="16" s="1"/>
  <c r="AF24" i="16"/>
  <c r="AF25" i="16" s="1"/>
  <c r="AD24" i="16"/>
  <c r="AD25" i="16" s="1"/>
  <c r="AA24" i="16"/>
  <c r="AA25" i="16" s="1"/>
  <c r="X24" i="16"/>
  <c r="X25" i="16" s="1"/>
  <c r="V24" i="16"/>
  <c r="V25" i="16" s="1"/>
  <c r="U24" i="16"/>
  <c r="U25" i="16" s="1"/>
  <c r="Q24" i="16"/>
  <c r="Q25" i="16" s="1"/>
  <c r="O24" i="16"/>
  <c r="O25" i="16" s="1"/>
  <c r="N24" i="16"/>
  <c r="N25" i="16" s="1"/>
  <c r="L24" i="16"/>
  <c r="L25" i="16" s="1"/>
  <c r="J24" i="16"/>
  <c r="J25" i="16" s="1"/>
  <c r="H24" i="16"/>
  <c r="H25" i="16" s="1"/>
  <c r="F24" i="16"/>
  <c r="F25" i="16" s="1"/>
  <c r="D24" i="16"/>
  <c r="D25" i="16" s="1"/>
  <c r="AE21" i="16"/>
  <c r="AH20" i="16"/>
  <c r="AH21" i="16" s="1"/>
  <c r="AE20" i="16"/>
  <c r="AC20" i="16"/>
  <c r="AC21" i="16" s="1"/>
  <c r="AA20" i="16"/>
  <c r="AA21" i="16" s="1"/>
  <c r="Y20" i="16"/>
  <c r="Y21" i="16" s="1"/>
  <c r="W20" i="16"/>
  <c r="W21" i="16" s="1"/>
  <c r="U20" i="16"/>
  <c r="U21" i="16" s="1"/>
  <c r="Q20" i="16"/>
  <c r="Q21" i="16" s="1"/>
  <c r="P20" i="16"/>
  <c r="P21" i="16" s="1"/>
  <c r="N20" i="16"/>
  <c r="N21" i="16" s="1"/>
  <c r="L20" i="16"/>
  <c r="L21" i="16" s="1"/>
  <c r="J20" i="16"/>
  <c r="J21" i="16" s="1"/>
  <c r="H20" i="16"/>
  <c r="H21" i="16" s="1"/>
  <c r="F20" i="16"/>
  <c r="F21" i="16" s="1"/>
  <c r="D20" i="16"/>
  <c r="D21" i="16" s="1"/>
  <c r="Q17" i="16"/>
  <c r="AI16" i="16"/>
  <c r="AI17" i="16" s="1"/>
  <c r="AE16" i="16"/>
  <c r="AE17" i="16" s="1"/>
  <c r="AC16" i="16"/>
  <c r="AC17" i="16" s="1"/>
  <c r="AA16" i="16"/>
  <c r="AA17" i="16" s="1"/>
  <c r="X16" i="16"/>
  <c r="X17" i="16" s="1"/>
  <c r="W16" i="16"/>
  <c r="W17" i="16" s="1"/>
  <c r="T16" i="16"/>
  <c r="T17" i="16" s="1"/>
  <c r="Q16" i="16"/>
  <c r="P16" i="16"/>
  <c r="P17" i="16" s="1"/>
  <c r="N16" i="16"/>
  <c r="N17" i="16" s="1"/>
  <c r="L16" i="16"/>
  <c r="L17" i="16" s="1"/>
  <c r="J16" i="16"/>
  <c r="J17" i="16" s="1"/>
  <c r="H16" i="16"/>
  <c r="H17" i="16" s="1"/>
  <c r="E16" i="16"/>
  <c r="E17" i="16" s="1"/>
  <c r="C16" i="16"/>
  <c r="C17" i="16" s="1"/>
  <c r="AI12" i="16"/>
  <c r="AI13" i="16" s="1"/>
  <c r="AF12" i="16"/>
  <c r="AF13" i="16" s="1"/>
  <c r="AC12" i="16"/>
  <c r="AC13" i="16" s="1"/>
  <c r="AA12" i="16"/>
  <c r="AA13" i="16" s="1"/>
  <c r="X13" i="16"/>
  <c r="X12" i="16"/>
  <c r="W12" i="16"/>
  <c r="W13" i="16" s="1"/>
  <c r="AK41" i="16" l="1"/>
  <c r="AK85" i="16"/>
  <c r="AK84" i="16"/>
  <c r="AK80" i="16"/>
  <c r="AK77" i="16"/>
  <c r="AK76" i="16"/>
  <c r="AK73" i="16"/>
  <c r="AK72" i="16"/>
  <c r="AK69" i="16"/>
  <c r="AK68" i="16"/>
  <c r="AK65" i="16"/>
  <c r="AK64" i="16"/>
  <c r="AK61" i="16"/>
  <c r="AK60" i="16"/>
  <c r="AK57" i="16"/>
  <c r="AK56" i="16"/>
  <c r="AK53" i="16"/>
  <c r="AK52" i="16"/>
  <c r="AK49" i="16"/>
  <c r="AK48" i="16"/>
  <c r="AK45" i="16"/>
  <c r="AK44" i="16"/>
  <c r="AK40" i="16"/>
  <c r="AK37" i="16"/>
  <c r="AK36" i="16"/>
  <c r="U12" i="16"/>
  <c r="U13" i="16" s="1"/>
  <c r="Q12" i="16"/>
  <c r="Q13" i="16" s="1"/>
  <c r="O12" i="16"/>
  <c r="O13" i="16" s="1"/>
  <c r="N12" i="16"/>
  <c r="N13" i="16" s="1"/>
  <c r="L12" i="16"/>
  <c r="L13" i="16" s="1"/>
  <c r="J12" i="16"/>
  <c r="J13" i="16" s="1"/>
  <c r="H12" i="16"/>
  <c r="H13" i="16" s="1"/>
  <c r="F12" i="16"/>
  <c r="F13" i="16" s="1"/>
  <c r="C12" i="16"/>
  <c r="C13" i="16" s="1"/>
  <c r="AI86" i="16" l="1"/>
  <c r="AH86" i="16"/>
  <c r="AF86" i="16" l="1"/>
  <c r="AE86" i="16"/>
  <c r="AD86" i="16"/>
  <c r="AC86" i="16"/>
  <c r="AA86" i="16" l="1"/>
  <c r="Z86" i="16"/>
  <c r="Y86" i="16"/>
  <c r="X86" i="16"/>
  <c r="W86" i="16"/>
  <c r="V86" i="16"/>
  <c r="U86" i="16"/>
  <c r="T86" i="16"/>
  <c r="R86" i="16" l="1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AB92" i="16" l="1"/>
  <c r="J28" i="7"/>
  <c r="J27" i="7"/>
  <c r="V25" i="7"/>
  <c r="J25" i="7"/>
  <c r="V24" i="7"/>
  <c r="J24" i="7"/>
  <c r="AH23" i="7"/>
  <c r="AH22" i="7"/>
  <c r="V21" i="7"/>
  <c r="J21" i="7"/>
  <c r="V20" i="7"/>
  <c r="J20" i="7"/>
  <c r="J18" i="7"/>
  <c r="J17" i="7"/>
  <c r="AH16" i="7"/>
  <c r="AH15" i="7"/>
  <c r="J14" i="7"/>
  <c r="J13" i="7"/>
  <c r="V11" i="7"/>
  <c r="J11" i="7"/>
  <c r="V10" i="7"/>
  <c r="J10" i="7"/>
  <c r="AH9" i="7"/>
  <c r="AH8" i="7"/>
  <c r="V7" i="7"/>
  <c r="J7" i="7"/>
  <c r="V6" i="7"/>
  <c r="J6" i="7"/>
  <c r="J4" i="7"/>
  <c r="J3" i="7"/>
  <c r="AI9" i="16"/>
  <c r="AH9" i="16"/>
  <c r="AF9" i="16"/>
  <c r="AE9" i="16"/>
  <c r="AD9" i="16"/>
  <c r="AC9" i="16"/>
  <c r="AA9" i="16"/>
  <c r="Z9" i="16"/>
  <c r="Y9" i="16"/>
  <c r="X9" i="16"/>
  <c r="W9" i="16"/>
  <c r="V9" i="16"/>
  <c r="U9" i="16"/>
  <c r="T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I8" i="16"/>
  <c r="AH8" i="16"/>
  <c r="AF8" i="16"/>
  <c r="AE8" i="16"/>
  <c r="AD8" i="16"/>
  <c r="AC8" i="16"/>
  <c r="AA8" i="16"/>
  <c r="Z8" i="16"/>
  <c r="Y8" i="16"/>
  <c r="X8" i="16"/>
  <c r="W8" i="16"/>
  <c r="V8" i="16"/>
  <c r="U8" i="16"/>
  <c r="T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AH6" i="16" l="1"/>
  <c r="AD6" i="16"/>
  <c r="W6" i="16"/>
  <c r="AE6" i="16"/>
  <c r="V6" i="16"/>
  <c r="AF6" i="16"/>
  <c r="AC6" i="16"/>
  <c r="H6" i="16"/>
  <c r="O6" i="16"/>
  <c r="AA6" i="16"/>
  <c r="AA32" i="16" s="1"/>
  <c r="AA33" i="16" s="1"/>
  <c r="T6" i="16"/>
  <c r="AI6" i="16"/>
  <c r="Q6" i="16"/>
  <c r="U6" i="16"/>
  <c r="C6" i="16"/>
  <c r="G6" i="16"/>
  <c r="K6" i="16"/>
  <c r="P6" i="16"/>
  <c r="R6" i="16"/>
  <c r="M6" i="16"/>
  <c r="I6" i="16"/>
  <c r="F6" i="16"/>
  <c r="Z6" i="16"/>
  <c r="L6" i="16"/>
  <c r="N6" i="16"/>
  <c r="N28" i="16" s="1"/>
  <c r="N29" i="16" s="1"/>
  <c r="E6" i="16"/>
  <c r="Y6" i="16"/>
  <c r="J6" i="16"/>
  <c r="D6" i="16"/>
  <c r="D16" i="16" s="1"/>
  <c r="D17" i="16" s="1"/>
  <c r="X6" i="16"/>
  <c r="AE24" i="16" l="1"/>
  <c r="AE25" i="16" s="1"/>
  <c r="AE12" i="16"/>
  <c r="AE13" i="16" s="1"/>
  <c r="AE32" i="16"/>
  <c r="AE33" i="16" s="1"/>
  <c r="Y32" i="16"/>
  <c r="Y33" i="16" s="1"/>
  <c r="Y12" i="16"/>
  <c r="Y13" i="16" s="1"/>
  <c r="Y24" i="16"/>
  <c r="Y25" i="16" s="1"/>
  <c r="Y16" i="16"/>
  <c r="Y17" i="16" s="1"/>
  <c r="Z24" i="16"/>
  <c r="Z25" i="16" s="1"/>
  <c r="Z20" i="16"/>
  <c r="Z21" i="16" s="1"/>
  <c r="Z16" i="16"/>
  <c r="Z17" i="16" s="1"/>
  <c r="Z12" i="16"/>
  <c r="Z13" i="16" s="1"/>
  <c r="Z28" i="16"/>
  <c r="Z29" i="16" s="1"/>
  <c r="R20" i="16"/>
  <c r="R21" i="16" s="1"/>
  <c r="R16" i="16"/>
  <c r="R17" i="16" s="1"/>
  <c r="R24" i="16"/>
  <c r="R25" i="16" s="1"/>
  <c r="C32" i="16"/>
  <c r="C28" i="16"/>
  <c r="C29" i="16" s="1"/>
  <c r="C20" i="16"/>
  <c r="C21" i="16" s="1"/>
  <c r="C24" i="16"/>
  <c r="C25" i="16" s="1"/>
  <c r="T32" i="16"/>
  <c r="T33" i="16" s="1"/>
  <c r="T28" i="16"/>
  <c r="T29" i="16" s="1"/>
  <c r="T20" i="16"/>
  <c r="T21" i="16" s="1"/>
  <c r="T24" i="16"/>
  <c r="T25" i="16" s="1"/>
  <c r="AC24" i="16"/>
  <c r="AC25" i="16" s="1"/>
  <c r="W24" i="16"/>
  <c r="W25" i="16" s="1"/>
  <c r="W28" i="16"/>
  <c r="W29" i="16" s="1"/>
  <c r="AI28" i="16"/>
  <c r="AI29" i="16" s="1"/>
  <c r="AI20" i="16"/>
  <c r="AI21" i="16" s="1"/>
  <c r="E24" i="16"/>
  <c r="E25" i="16" s="1"/>
  <c r="E20" i="16"/>
  <c r="E21" i="16" s="1"/>
  <c r="E28" i="16"/>
  <c r="E29" i="16" s="1"/>
  <c r="E32" i="16"/>
  <c r="E33" i="16" s="1"/>
  <c r="F16" i="16"/>
  <c r="F17" i="16" s="1"/>
  <c r="P32" i="16"/>
  <c r="P33" i="16" s="1"/>
  <c r="P24" i="16"/>
  <c r="P25" i="16" s="1"/>
  <c r="U16" i="16"/>
  <c r="U17" i="16" s="1"/>
  <c r="AF20" i="16"/>
  <c r="AF21" i="16" s="1"/>
  <c r="AF16" i="16"/>
  <c r="AF17" i="16" s="1"/>
  <c r="AF28" i="16"/>
  <c r="AF29" i="16" s="1"/>
  <c r="AD32" i="16"/>
  <c r="AD33" i="16" s="1"/>
  <c r="AD28" i="16"/>
  <c r="AD29" i="16" s="1"/>
  <c r="AD20" i="16"/>
  <c r="AD21" i="16" s="1"/>
  <c r="AD16" i="16"/>
  <c r="AD17" i="16" s="1"/>
  <c r="AD12" i="16"/>
  <c r="AD13" i="16" s="1"/>
  <c r="M24" i="16"/>
  <c r="M25" i="16" s="1"/>
  <c r="M20" i="16"/>
  <c r="M21" i="16" s="1"/>
  <c r="M16" i="16"/>
  <c r="M17" i="16" s="1"/>
  <c r="M32" i="16"/>
  <c r="M33" i="16" s="1"/>
  <c r="G20" i="16"/>
  <c r="G21" i="16" s="1"/>
  <c r="G16" i="16"/>
  <c r="G17" i="16" s="1"/>
  <c r="G32" i="16"/>
  <c r="G33" i="16" s="1"/>
  <c r="G28" i="16"/>
  <c r="G29" i="16" s="1"/>
  <c r="G24" i="16"/>
  <c r="G25" i="16" s="1"/>
  <c r="X20" i="16"/>
  <c r="X21" i="16" s="1"/>
  <c r="X28" i="16"/>
  <c r="X29" i="16" s="1"/>
  <c r="I24" i="16"/>
  <c r="I25" i="16" s="1"/>
  <c r="I20" i="16"/>
  <c r="I21" i="16" s="1"/>
  <c r="I16" i="16"/>
  <c r="I17" i="16" s="1"/>
  <c r="I32" i="16"/>
  <c r="I33" i="16" s="1"/>
  <c r="I28" i="16"/>
  <c r="I29" i="16" s="1"/>
  <c r="K32" i="16"/>
  <c r="K33" i="16" s="1"/>
  <c r="K28" i="16"/>
  <c r="K29" i="16" s="1"/>
  <c r="K20" i="16"/>
  <c r="K21" i="16" s="1"/>
  <c r="K24" i="16"/>
  <c r="K25" i="16" s="1"/>
  <c r="K16" i="16"/>
  <c r="K17" i="16" s="1"/>
  <c r="Q32" i="16"/>
  <c r="Q33" i="16" s="1"/>
  <c r="Q28" i="16"/>
  <c r="Q29" i="16" s="1"/>
  <c r="O20" i="16"/>
  <c r="O21" i="16" s="1"/>
  <c r="O16" i="16"/>
  <c r="O17" i="16" s="1"/>
  <c r="O28" i="16"/>
  <c r="O29" i="16" s="1"/>
  <c r="V20" i="16"/>
  <c r="V21" i="16" s="1"/>
  <c r="V16" i="16"/>
  <c r="V17" i="16" s="1"/>
  <c r="V12" i="16"/>
  <c r="V13" i="16" s="1"/>
  <c r="V32" i="16"/>
  <c r="V33" i="16" s="1"/>
  <c r="AH16" i="16"/>
  <c r="AH17" i="16" s="1"/>
  <c r="AH32" i="16"/>
  <c r="AH33" i="16" s="1"/>
  <c r="AH12" i="16"/>
  <c r="AH13" i="16" s="1"/>
  <c r="AH24" i="16"/>
  <c r="AH25" i="16" s="1"/>
  <c r="D12" i="16"/>
  <c r="D13" i="16" s="1"/>
  <c r="G12" i="16"/>
  <c r="G13" i="16" s="1"/>
  <c r="R12" i="16"/>
  <c r="R13" i="16" s="1"/>
  <c r="T12" i="16"/>
  <c r="T13" i="16" s="1"/>
  <c r="E12" i="16"/>
  <c r="E13" i="16" s="1"/>
  <c r="P12" i="16"/>
  <c r="P13" i="16" s="1"/>
  <c r="M12" i="16"/>
  <c r="M13" i="16" s="1"/>
  <c r="I12" i="16"/>
  <c r="I13" i="16" s="1"/>
  <c r="K12" i="16"/>
  <c r="K13" i="16" s="1"/>
  <c r="C7" i="16"/>
  <c r="AE79" i="16"/>
  <c r="AH75" i="16"/>
  <c r="AH71" i="16"/>
  <c r="AH83" i="16"/>
  <c r="AH79" i="16"/>
  <c r="AE83" i="16"/>
  <c r="AE75" i="16"/>
  <c r="AE71" i="16"/>
  <c r="AC75" i="16"/>
  <c r="AC79" i="16"/>
  <c r="AC83" i="16"/>
  <c r="AC71" i="16"/>
  <c r="T83" i="16"/>
  <c r="T75" i="16"/>
  <c r="T79" i="16"/>
  <c r="T71" i="16"/>
  <c r="X15" i="16"/>
  <c r="X71" i="16"/>
  <c r="X75" i="16"/>
  <c r="X79" i="16"/>
  <c r="X83" i="16"/>
  <c r="Z79" i="16"/>
  <c r="Z83" i="16"/>
  <c r="Z71" i="16"/>
  <c r="Z75" i="16"/>
  <c r="V15" i="16"/>
  <c r="V75" i="16"/>
  <c r="V71" i="16"/>
  <c r="V79" i="16"/>
  <c r="V83" i="16"/>
  <c r="I79" i="16"/>
  <c r="I83" i="16"/>
  <c r="K79" i="16"/>
  <c r="K83" i="16"/>
  <c r="Q79" i="16"/>
  <c r="Q83" i="16"/>
  <c r="O79" i="16"/>
  <c r="O83" i="16"/>
  <c r="M79" i="16"/>
  <c r="M83" i="16"/>
  <c r="G79" i="16"/>
  <c r="G83" i="16"/>
  <c r="C79" i="16"/>
  <c r="C83" i="16"/>
  <c r="E79" i="16"/>
  <c r="E83" i="16"/>
  <c r="K71" i="16"/>
  <c r="K75" i="16"/>
  <c r="M71" i="16"/>
  <c r="M75" i="16"/>
  <c r="G71" i="16"/>
  <c r="G75" i="16"/>
  <c r="E71" i="16"/>
  <c r="E75" i="16"/>
  <c r="I71" i="16"/>
  <c r="I75" i="16"/>
  <c r="C71" i="16"/>
  <c r="C75" i="16"/>
  <c r="Q71" i="16"/>
  <c r="Q75" i="16"/>
  <c r="O71" i="16"/>
  <c r="O75" i="16"/>
  <c r="AH23" i="16"/>
  <c r="AH39" i="16"/>
  <c r="AH55" i="16"/>
  <c r="AH43" i="16"/>
  <c r="AH59" i="16"/>
  <c r="AH31" i="16"/>
  <c r="AH47" i="16"/>
  <c r="AH51" i="16"/>
  <c r="AH11" i="16"/>
  <c r="AH27" i="16"/>
  <c r="AH15" i="16"/>
  <c r="AH63" i="16"/>
  <c r="AH19" i="16"/>
  <c r="AH35" i="16"/>
  <c r="AC11" i="16"/>
  <c r="AC19" i="16"/>
  <c r="AC27" i="16"/>
  <c r="AC35" i="16"/>
  <c r="AC43" i="16"/>
  <c r="AC51" i="16"/>
  <c r="AC15" i="16"/>
  <c r="AC23" i="16"/>
  <c r="AC47" i="16"/>
  <c r="AC55" i="16"/>
  <c r="AC63" i="16"/>
  <c r="AC59" i="16"/>
  <c r="AC31" i="16"/>
  <c r="AC39" i="16"/>
  <c r="AE43" i="16"/>
  <c r="AE39" i="16"/>
  <c r="AE11" i="16"/>
  <c r="AE19" i="16"/>
  <c r="AE27" i="16"/>
  <c r="AE35" i="16"/>
  <c r="AE51" i="16"/>
  <c r="AE59" i="16"/>
  <c r="AE23" i="16"/>
  <c r="AE63" i="16"/>
  <c r="AE15" i="16"/>
  <c r="AE47" i="16"/>
  <c r="AE31" i="16"/>
  <c r="AE55" i="16"/>
  <c r="Z15" i="16"/>
  <c r="T15" i="16"/>
  <c r="T11" i="16"/>
  <c r="T23" i="16"/>
  <c r="T31" i="16"/>
  <c r="T47" i="16"/>
  <c r="T55" i="16"/>
  <c r="T19" i="16"/>
  <c r="T27" i="16"/>
  <c r="T35" i="16"/>
  <c r="Z19" i="16"/>
  <c r="Z31" i="16"/>
  <c r="Z43" i="16"/>
  <c r="V19" i="16"/>
  <c r="V27" i="16"/>
  <c r="V39" i="16"/>
  <c r="V31" i="16"/>
  <c r="V55" i="16"/>
  <c r="V11" i="16"/>
  <c r="V23" i="16"/>
  <c r="V35" i="16"/>
  <c r="V43" i="16"/>
  <c r="V51" i="16"/>
  <c r="V63" i="16"/>
  <c r="Z11" i="16"/>
  <c r="Z23" i="16"/>
  <c r="Z27" i="16"/>
  <c r="Z35" i="16"/>
  <c r="Z39" i="16"/>
  <c r="Z47" i="16"/>
  <c r="Z51" i="16"/>
  <c r="Z55" i="16"/>
  <c r="Z59" i="16"/>
  <c r="Z63" i="16"/>
  <c r="T39" i="16"/>
  <c r="T43" i="16"/>
  <c r="T51" i="16"/>
  <c r="T59" i="16"/>
  <c r="T63" i="16"/>
  <c r="V47" i="16"/>
  <c r="V59" i="16"/>
  <c r="X23" i="16"/>
  <c r="X27" i="16"/>
  <c r="X31" i="16"/>
  <c r="X39" i="16"/>
  <c r="X43" i="16"/>
  <c r="X47" i="16"/>
  <c r="X51" i="16"/>
  <c r="X55" i="16"/>
  <c r="X63" i="16"/>
  <c r="X11" i="16"/>
  <c r="X19" i="16"/>
  <c r="X35" i="16"/>
  <c r="X59" i="16"/>
  <c r="O59" i="16"/>
  <c r="O63" i="16"/>
  <c r="C11" i="16"/>
  <c r="C19" i="16"/>
  <c r="C27" i="16"/>
  <c r="C35" i="16"/>
  <c r="C43" i="16"/>
  <c r="C51" i="16"/>
  <c r="C15" i="16"/>
  <c r="C23" i="16"/>
  <c r="C31" i="16"/>
  <c r="C39" i="16"/>
  <c r="C55" i="16"/>
  <c r="C63" i="16"/>
  <c r="O39" i="16"/>
  <c r="O31" i="16"/>
  <c r="O55" i="16"/>
  <c r="O11" i="16"/>
  <c r="O19" i="16"/>
  <c r="O27" i="16"/>
  <c r="O35" i="16"/>
  <c r="O43" i="16"/>
  <c r="O51" i="16"/>
  <c r="O15" i="16"/>
  <c r="O23" i="16"/>
  <c r="O47" i="16"/>
  <c r="C59" i="16"/>
  <c r="C47" i="16"/>
  <c r="M35" i="16"/>
  <c r="M55" i="16"/>
  <c r="M27" i="16"/>
  <c r="M59" i="16"/>
  <c r="M19" i="16"/>
  <c r="M51" i="16"/>
  <c r="M23" i="16"/>
  <c r="M39" i="16"/>
  <c r="M63" i="16"/>
  <c r="M11" i="16"/>
  <c r="M43" i="16"/>
  <c r="M15" i="16"/>
  <c r="M31" i="16"/>
  <c r="M47" i="16"/>
  <c r="Q19" i="16"/>
  <c r="Q55" i="16"/>
  <c r="Q15" i="16"/>
  <c r="Q11" i="16"/>
  <c r="Q27" i="16"/>
  <c r="Q35" i="16"/>
  <c r="Q43" i="16"/>
  <c r="Q59" i="16"/>
  <c r="Q23" i="16"/>
  <c r="Q31" i="16"/>
  <c r="Q39" i="16"/>
  <c r="Q47" i="16"/>
  <c r="Q51" i="16"/>
  <c r="Q63" i="16"/>
  <c r="E47" i="16"/>
  <c r="E11" i="16"/>
  <c r="E59" i="16"/>
  <c r="E39" i="16"/>
  <c r="E55" i="16"/>
  <c r="E19" i="16"/>
  <c r="E35" i="16"/>
  <c r="E15" i="16"/>
  <c r="E31" i="16"/>
  <c r="E63" i="16"/>
  <c r="E27" i="16"/>
  <c r="E43" i="16"/>
  <c r="E23" i="16"/>
  <c r="E51" i="16"/>
  <c r="I19" i="16"/>
  <c r="I11" i="16"/>
  <c r="I27" i="16"/>
  <c r="I55" i="16"/>
  <c r="I31" i="16"/>
  <c r="I47" i="16"/>
  <c r="I63" i="16"/>
  <c r="I43" i="16"/>
  <c r="I35" i="16"/>
  <c r="I51" i="16"/>
  <c r="I59" i="16"/>
  <c r="I23" i="16"/>
  <c r="I39" i="16"/>
  <c r="I15" i="16"/>
  <c r="K23" i="16"/>
  <c r="K55" i="16"/>
  <c r="K51" i="16"/>
  <c r="K11" i="16"/>
  <c r="K27" i="16"/>
  <c r="K43" i="16"/>
  <c r="K59" i="16"/>
  <c r="K35" i="16"/>
  <c r="K15" i="16"/>
  <c r="K31" i="16"/>
  <c r="K47" i="16"/>
  <c r="K19" i="16"/>
  <c r="K39" i="16"/>
  <c r="K63" i="16"/>
  <c r="G19" i="16"/>
  <c r="G23" i="16"/>
  <c r="G31" i="16"/>
  <c r="G35" i="16"/>
  <c r="G39" i="16"/>
  <c r="G47" i="16"/>
  <c r="G51" i="16"/>
  <c r="G59" i="16"/>
  <c r="G15" i="16"/>
  <c r="G11" i="16"/>
  <c r="G43" i="16"/>
  <c r="G55" i="16"/>
  <c r="G27" i="16"/>
  <c r="G63" i="16"/>
  <c r="AH67" i="16"/>
  <c r="AE67" i="16"/>
  <c r="AC67" i="16"/>
  <c r="V67" i="16"/>
  <c r="X67" i="16"/>
  <c r="Z67" i="16"/>
  <c r="T67" i="16"/>
  <c r="K67" i="16"/>
  <c r="C67" i="16"/>
  <c r="Q67" i="16"/>
  <c r="O67" i="16"/>
  <c r="E67" i="16"/>
  <c r="G67" i="16"/>
  <c r="M67" i="16"/>
  <c r="I67" i="16"/>
  <c r="C33" i="16" l="1"/>
  <c r="AK33" i="16" s="1"/>
  <c r="AK32" i="16"/>
  <c r="AK28" i="16"/>
  <c r="AK29" i="16"/>
  <c r="AK16" i="16"/>
  <c r="AK17" i="16"/>
  <c r="AK20" i="16"/>
  <c r="AK12" i="16"/>
  <c r="AK21" i="16"/>
  <c r="AK24" i="16"/>
  <c r="AK25" i="16"/>
  <c r="AK13" i="16"/>
  <c r="AJ42" i="16"/>
  <c r="AG42" i="16"/>
  <c r="AB42" i="16"/>
  <c r="AB78" i="16"/>
  <c r="AG78" i="16"/>
  <c r="AJ38" i="16"/>
  <c r="AJ78" i="16"/>
  <c r="AJ26" i="16"/>
  <c r="AJ82" i="16"/>
  <c r="AJ66" i="16"/>
  <c r="AJ70" i="16"/>
  <c r="AB26" i="16"/>
  <c r="AG26" i="16"/>
  <c r="AJ34" i="16"/>
  <c r="AJ54" i="16"/>
  <c r="AJ58" i="16"/>
  <c r="AG58" i="16"/>
  <c r="AB58" i="16"/>
  <c r="S34" i="16"/>
  <c r="S54" i="16"/>
  <c r="S58" i="16"/>
  <c r="S26" i="16"/>
  <c r="AJ22" i="16"/>
  <c r="AJ50" i="16"/>
  <c r="AJ30" i="16"/>
  <c r="AJ18" i="16"/>
  <c r="AJ62" i="16"/>
  <c r="AJ10" i="16"/>
  <c r="AG22" i="16"/>
  <c r="AB22" i="16"/>
  <c r="S38" i="16"/>
  <c r="AJ74" i="16"/>
  <c r="AJ46" i="16"/>
  <c r="AJ14" i="16"/>
  <c r="AG10" i="16"/>
  <c r="AG30" i="16"/>
  <c r="AG46" i="16"/>
  <c r="AG18" i="16"/>
  <c r="AG70" i="16"/>
  <c r="AG14" i="16"/>
  <c r="AG54" i="16"/>
  <c r="AG34" i="16"/>
  <c r="AG62" i="16"/>
  <c r="AG82" i="16"/>
  <c r="AG38" i="16"/>
  <c r="AG74" i="16"/>
  <c r="AG66" i="16"/>
  <c r="AG50" i="16"/>
  <c r="AB54" i="16"/>
  <c r="AB30" i="16"/>
  <c r="AB62" i="16"/>
  <c r="AB34" i="16"/>
  <c r="AB70" i="16"/>
  <c r="AB46" i="16"/>
  <c r="AB66" i="16"/>
  <c r="AB38" i="16"/>
  <c r="AB10" i="16"/>
  <c r="AB18" i="16"/>
  <c r="AB82" i="16"/>
  <c r="AB74" i="16"/>
  <c r="AB50" i="16"/>
  <c r="AB14" i="16"/>
  <c r="S46" i="16"/>
  <c r="S42" i="16"/>
  <c r="S82" i="16"/>
  <c r="S78" i="16"/>
  <c r="S10" i="16"/>
  <c r="S70" i="16"/>
  <c r="S74" i="16"/>
  <c r="S22" i="16"/>
  <c r="S62" i="16"/>
  <c r="S18" i="16"/>
  <c r="S30" i="16"/>
  <c r="S14" i="16"/>
  <c r="S50" i="16"/>
  <c r="S66" i="16"/>
  <c r="AL62" i="16" l="1"/>
  <c r="AL26" i="16"/>
  <c r="AL42" i="16"/>
  <c r="AL78" i="16"/>
  <c r="AL70" i="16"/>
  <c r="AL34" i="16"/>
  <c r="AL66" i="16"/>
  <c r="AL30" i="16"/>
  <c r="AL82" i="16"/>
  <c r="AL50" i="16"/>
  <c r="AL58" i="16"/>
  <c r="AL14" i="16"/>
  <c r="AL18" i="16"/>
  <c r="AL38" i="16"/>
  <c r="AL46" i="16"/>
  <c r="AL54" i="16"/>
  <c r="AL10" i="16"/>
  <c r="AL22" i="16"/>
  <c r="AL74" i="16"/>
  <c r="A50" i="16" l="1"/>
  <c r="A22" i="16"/>
  <c r="A10" i="16"/>
  <c r="A54" i="16"/>
  <c r="A30" i="16"/>
  <c r="A46" i="16"/>
  <c r="A66" i="16"/>
  <c r="A34" i="16"/>
  <c r="A82" i="16"/>
  <c r="A70" i="16"/>
  <c r="A14" i="16"/>
  <c r="A78" i="16"/>
  <c r="A62" i="16"/>
  <c r="A38" i="16"/>
  <c r="A79" i="16"/>
  <c r="A63" i="16"/>
  <c r="A47" i="16"/>
  <c r="A31" i="16"/>
  <c r="A15" i="16"/>
  <c r="A59" i="16"/>
  <c r="A43" i="16"/>
  <c r="A18" i="16"/>
  <c r="A75" i="16"/>
  <c r="A27" i="16"/>
  <c r="A55" i="16"/>
  <c r="A71" i="16"/>
  <c r="A39" i="16"/>
  <c r="A23" i="16"/>
  <c r="A67" i="16"/>
  <c r="A35" i="16"/>
  <c r="A19" i="16"/>
  <c r="A51" i="16"/>
  <c r="A74" i="16"/>
  <c r="A58" i="16"/>
  <c r="A42" i="16"/>
  <c r="A26" i="16"/>
  <c r="AK14" i="16"/>
  <c r="AK78" i="16"/>
  <c r="AK63" i="16"/>
  <c r="AK79" i="16"/>
  <c r="AK59" i="16"/>
  <c r="AK75" i="16"/>
  <c r="AK43" i="16"/>
  <c r="AK55" i="16"/>
  <c r="AK39" i="16"/>
  <c r="AK35" i="16"/>
  <c r="AK19" i="16"/>
  <c r="AK31" i="16"/>
  <c r="AK27" i="16"/>
  <c r="AK71" i="16"/>
  <c r="AK23" i="16"/>
  <c r="AK47" i="16"/>
  <c r="AK15" i="16"/>
  <c r="AK18" i="16"/>
  <c r="AK51" i="16"/>
  <c r="AK67" i="16"/>
  <c r="AK70" i="16"/>
  <c r="AK74" i="16"/>
  <c r="AK58" i="16"/>
  <c r="AK42" i="16"/>
  <c r="AK22" i="16"/>
  <c r="AK50" i="16"/>
  <c r="AK26" i="16"/>
  <c r="AK10" i="16"/>
  <c r="AK82" i="16"/>
  <c r="AK54" i="16"/>
  <c r="AK30" i="16"/>
  <c r="AK62" i="16"/>
  <c r="AK66" i="16"/>
  <c r="AK46" i="16"/>
  <c r="AK38" i="16"/>
  <c r="AK34" i="16"/>
</calcChain>
</file>

<file path=xl/sharedStrings.xml><?xml version="1.0" encoding="utf-8"?>
<sst xmlns="http://schemas.openxmlformats.org/spreadsheetml/2006/main" count="151" uniqueCount="80">
  <si>
    <t>RONDE 1</t>
  </si>
  <si>
    <t>RONDE 2</t>
  </si>
  <si>
    <t>RONDE 3</t>
  </si>
  <si>
    <t>TOTAL</t>
  </si>
  <si>
    <t>Points pour les victoires</t>
  </si>
  <si>
    <t>Points pour les prédictions exactes du nombre de parties</t>
  </si>
  <si>
    <t>Points pour les prédictions exactes des équipes</t>
  </si>
  <si>
    <t>#</t>
  </si>
  <si>
    <t>OUEST</t>
  </si>
  <si>
    <t>EST</t>
  </si>
  <si>
    <t>R4</t>
  </si>
  <si>
    <t>NOM</t>
  </si>
  <si>
    <t>Sous-total - RONDE 1</t>
  </si>
  <si>
    <t>Sous-total - RONDE 2</t>
  </si>
  <si>
    <t>Sous-total - RONDE 3</t>
  </si>
  <si>
    <t>Sous-total - RONDE 4</t>
  </si>
  <si>
    <t>SYSTÈME DE POINTAGE</t>
  </si>
  <si>
    <t>RONDES</t>
  </si>
  <si>
    <t>Prix d'inscription</t>
  </si>
  <si>
    <t>Total</t>
  </si>
  <si>
    <t>Nb. Participants</t>
  </si>
  <si>
    <t>1ère place</t>
  </si>
  <si>
    <t>2e place</t>
  </si>
  <si>
    <t>4e place</t>
  </si>
  <si>
    <t>BOURSES</t>
  </si>
  <si>
    <t>3e place</t>
  </si>
  <si>
    <t>INFORMATIONS</t>
  </si>
  <si>
    <t>A1</t>
  </si>
  <si>
    <t>WC</t>
  </si>
  <si>
    <t>A2</t>
  </si>
  <si>
    <t>A3</t>
  </si>
  <si>
    <t>M1</t>
  </si>
  <si>
    <t>M2</t>
  </si>
  <si>
    <t>M3</t>
  </si>
  <si>
    <t>P1</t>
  </si>
  <si>
    <t>P2</t>
  </si>
  <si>
    <t>P3</t>
  </si>
  <si>
    <t>C1</t>
  </si>
  <si>
    <t>C2</t>
  </si>
  <si>
    <t>C3</t>
  </si>
  <si>
    <t>TAMPA BAY</t>
  </si>
  <si>
    <t>NEW JERSEY</t>
  </si>
  <si>
    <t>BOSTON</t>
  </si>
  <si>
    <t>TORONTO</t>
  </si>
  <si>
    <t>WASHINGTON</t>
  </si>
  <si>
    <t>COLOMBUS</t>
  </si>
  <si>
    <t>PITTSBURGH</t>
  </si>
  <si>
    <t>PHILADELPHIE</t>
  </si>
  <si>
    <t>NASHVILLE</t>
  </si>
  <si>
    <t>COLORADO</t>
  </si>
  <si>
    <t>WINNIPEG</t>
  </si>
  <si>
    <t>MINNESOTA</t>
  </si>
  <si>
    <t>VEGAS</t>
  </si>
  <si>
    <t>LOS ANGELES</t>
  </si>
  <si>
    <t>ANAHEIM</t>
  </si>
  <si>
    <t>SAN JOSE</t>
  </si>
  <si>
    <t>Raymond Tiefengraber</t>
  </si>
  <si>
    <t>Daniel Amyot</t>
  </si>
  <si>
    <t xml:space="preserve">Résultats complets disponibles à l'adresse suivante : </t>
  </si>
  <si>
    <t>https://staker4.github.io/pool/laval.pdf</t>
  </si>
  <si>
    <t>Michel Guérin</t>
  </si>
  <si>
    <t>Matias Fajardo</t>
  </si>
  <si>
    <t>Guylaine Fortin</t>
  </si>
  <si>
    <t>Alexandre Levac</t>
  </si>
  <si>
    <t>Michaël Tremblay</t>
  </si>
  <si>
    <t>Max Ménard</t>
  </si>
  <si>
    <t>Denis Desjardins</t>
  </si>
  <si>
    <t>Michel Boulianne</t>
  </si>
  <si>
    <t>Frédéric Lacerte</t>
  </si>
  <si>
    <t>France Boileau</t>
  </si>
  <si>
    <t>Jean-Christophe Pichot</t>
  </si>
  <si>
    <t>Bruno-Pierre Hamel</t>
  </si>
  <si>
    <t>Daniel Boucher</t>
  </si>
  <si>
    <t>Pierre Daoust</t>
  </si>
  <si>
    <t>Thanh Vinh Nguyen</t>
  </si>
  <si>
    <t>Olivier Paris</t>
  </si>
  <si>
    <t>Daniel Darveau</t>
  </si>
  <si>
    <t>ÉCART</t>
  </si>
  <si>
    <t>Prédiction équipe</t>
  </si>
  <si>
    <t>Prédiciton nb matchs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</si>
</sst>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 * #,##0.00_)\ &quot;$&quot;_ ;_ * \(#,##0.00\)\ &quot;$&quot;_ ;_ * &quot;-&quot;??_)\ &quot;$&quot;_ ;_ @_ "/>
    <numFmt numFmtId="43" formatCode="_ * #,##0.00_)\ _$_ ;_ * \(#,##0.00\)\ _$_ ;_ * &quot;-&quot;??_)\ _$_ ;_ @_ "/>
    <numFmt numFmtId="164" formatCode="_ * #,##0.00_)\ [$€-1]_ ;_ * \(#,##0.00\)\ [$€-1]_ ;_ * &quot;-&quot;??_)\ [$€-1]_ "/>
    <numFmt numFmtId="165" formatCode="_ * #,##0_)\ &quot;$&quot;_ ;_ * \(#,##0\)\ &quot;$&quot;_ ;_ * &quot;-&quot;??_)\ &quot;$&quot;_ ;_ @_ "/>
    <numFmt numFmtId="166" formatCode="_ * #,##0_)\ _$_ ;_ * \(#,##0\)\ _$_ ;_ * &quot;-&quot;??_)\ _$_ ;_ @_ "/>
  </numFmts>
  <fonts count="2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sz val="10"/>
      <color indexed="9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color rgb="FFFF0000"/>
      <name val="Arial"/>
      <family val="2"/>
    </font>
    <font>
      <b/>
      <i/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Dashed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Dashed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Fill="1"/>
    <xf numFmtId="0" fontId="0" fillId="0" borderId="0" xfId="0" applyFill="1" applyBorder="1"/>
    <xf numFmtId="0" fontId="0" fillId="0" borderId="0" xfId="0" applyFill="1" applyAlignment="1">
      <alignment horizontal="center"/>
    </xf>
    <xf numFmtId="0" fontId="0" fillId="0" borderId="13" xfId="0" applyBorder="1"/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1" fillId="3" borderId="19" xfId="0" applyFont="1" applyFill="1" applyBorder="1" applyAlignment="1">
      <alignment horizontal="center"/>
    </xf>
    <xf numFmtId="0" fontId="10" fillId="0" borderId="6" xfId="0" applyFont="1" applyBorder="1" applyAlignment="1"/>
    <xf numFmtId="0" fontId="2" fillId="0" borderId="0" xfId="0" applyFont="1"/>
    <xf numFmtId="0" fontId="0" fillId="0" borderId="0" xfId="0" applyAlignment="1"/>
    <xf numFmtId="0" fontId="0" fillId="0" borderId="0" xfId="0" applyAlignment="1">
      <alignment horizontal="left"/>
    </xf>
    <xf numFmtId="0" fontId="10" fillId="0" borderId="0" xfId="0" applyFont="1" applyBorder="1" applyAlignment="1"/>
    <xf numFmtId="0" fontId="11" fillId="0" borderId="0" xfId="0" applyFont="1"/>
    <xf numFmtId="0" fontId="11" fillId="0" borderId="0" xfId="0" applyFont="1" applyBorder="1"/>
    <xf numFmtId="0" fontId="11" fillId="3" borderId="2" xfId="0" applyFont="1" applyFill="1" applyBorder="1"/>
    <xf numFmtId="0" fontId="11" fillId="0" borderId="18" xfId="0" applyFont="1" applyBorder="1"/>
    <xf numFmtId="0" fontId="11" fillId="0" borderId="7" xfId="0" applyFont="1" applyBorder="1"/>
    <xf numFmtId="165" fontId="1" fillId="0" borderId="16" xfId="4" applyNumberFormat="1" applyBorder="1"/>
    <xf numFmtId="0" fontId="13" fillId="0" borderId="0" xfId="0" applyFont="1" applyBorder="1"/>
    <xf numFmtId="0" fontId="9" fillId="0" borderId="0" xfId="0" applyFont="1" applyBorder="1"/>
    <xf numFmtId="0" fontId="13" fillId="0" borderId="0" xfId="0" applyFont="1"/>
    <xf numFmtId="0" fontId="14" fillId="0" borderId="38" xfId="0" applyFont="1" applyBorder="1"/>
    <xf numFmtId="0" fontId="12" fillId="0" borderId="0" xfId="2" applyNumberFormat="1" applyFont="1" applyAlignment="1" applyProtection="1"/>
    <xf numFmtId="0" fontId="14" fillId="0" borderId="43" xfId="0" applyFont="1" applyBorder="1" applyAlignment="1">
      <alignment horizontal="right"/>
    </xf>
    <xf numFmtId="0" fontId="4" fillId="0" borderId="0" xfId="0" applyFont="1"/>
    <xf numFmtId="0" fontId="2" fillId="0" borderId="44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25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3" xfId="0" applyBorder="1"/>
    <xf numFmtId="0" fontId="11" fillId="3" borderId="49" xfId="0" applyFont="1" applyFill="1" applyBorder="1" applyAlignment="1">
      <alignment horizontal="center"/>
    </xf>
    <xf numFmtId="0" fontId="2" fillId="0" borderId="59" xfId="0" applyFont="1" applyFill="1" applyBorder="1" applyAlignment="1">
      <alignment horizontal="center"/>
    </xf>
    <xf numFmtId="0" fontId="2" fillId="0" borderId="60" xfId="0" applyFont="1" applyFill="1" applyBorder="1" applyAlignment="1">
      <alignment horizontal="center"/>
    </xf>
    <xf numFmtId="0" fontId="2" fillId="0" borderId="28" xfId="0" applyFont="1" applyFill="1" applyBorder="1" applyAlignment="1"/>
    <xf numFmtId="0" fontId="2" fillId="0" borderId="66" xfId="0" applyFont="1" applyFill="1" applyBorder="1" applyAlignment="1"/>
    <xf numFmtId="0" fontId="2" fillId="0" borderId="67" xfId="0" applyFont="1" applyFill="1" applyBorder="1" applyAlignment="1"/>
    <xf numFmtId="0" fontId="2" fillId="0" borderId="68" xfId="0" applyFont="1" applyFill="1" applyBorder="1" applyAlignment="1"/>
    <xf numFmtId="0" fontId="2" fillId="0" borderId="29" xfId="0" applyFont="1" applyFill="1" applyBorder="1" applyAlignment="1"/>
    <xf numFmtId="0" fontId="2" fillId="0" borderId="69" xfId="0" applyFont="1" applyFill="1" applyBorder="1" applyAlignment="1"/>
    <xf numFmtId="0" fontId="11" fillId="0" borderId="3" xfId="0" applyFont="1" applyBorder="1"/>
    <xf numFmtId="1" fontId="5" fillId="0" borderId="71" xfId="0" applyNumberFormat="1" applyFont="1" applyBorder="1" applyAlignment="1">
      <alignment horizontal="center"/>
    </xf>
    <xf numFmtId="1" fontId="5" fillId="0" borderId="72" xfId="0" applyNumberFormat="1" applyFont="1" applyBorder="1" applyAlignment="1">
      <alignment horizontal="center"/>
    </xf>
    <xf numFmtId="1" fontId="5" fillId="0" borderId="73" xfId="0" applyNumberFormat="1" applyFont="1" applyBorder="1" applyAlignment="1">
      <alignment horizontal="center"/>
    </xf>
    <xf numFmtId="1" fontId="5" fillId="0" borderId="74" xfId="0" applyNumberFormat="1" applyFont="1" applyBorder="1" applyAlignment="1">
      <alignment horizontal="center"/>
    </xf>
    <xf numFmtId="1" fontId="5" fillId="0" borderId="75" xfId="0" applyNumberFormat="1" applyFont="1" applyBorder="1" applyAlignment="1">
      <alignment horizontal="center"/>
    </xf>
    <xf numFmtId="1" fontId="5" fillId="0" borderId="76" xfId="0" applyNumberFormat="1" applyFont="1" applyBorder="1" applyAlignment="1">
      <alignment horizontal="center"/>
    </xf>
    <xf numFmtId="1" fontId="5" fillId="0" borderId="77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78" xfId="0" applyNumberFormat="1" applyFont="1" applyBorder="1" applyAlignment="1">
      <alignment horizontal="center"/>
    </xf>
    <xf numFmtId="1" fontId="5" fillId="0" borderId="79" xfId="0" applyNumberFormat="1" applyFont="1" applyBorder="1" applyAlignment="1">
      <alignment horizontal="center"/>
    </xf>
    <xf numFmtId="0" fontId="10" fillId="0" borderId="3" xfId="0" applyFont="1" applyBorder="1"/>
    <xf numFmtId="0" fontId="0" fillId="0" borderId="20" xfId="0" applyFill="1" applyBorder="1" applyAlignment="1">
      <alignment vertical="center"/>
    </xf>
    <xf numFmtId="0" fontId="11" fillId="0" borderId="21" xfId="0" applyFont="1" applyFill="1" applyBorder="1" applyAlignment="1">
      <alignment vertical="center"/>
    </xf>
    <xf numFmtId="0" fontId="4" fillId="3" borderId="13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9" xfId="0" applyFont="1" applyFill="1" applyBorder="1" applyAlignment="1"/>
    <xf numFmtId="0" fontId="2" fillId="0" borderId="97" xfId="0" applyFont="1" applyFill="1" applyBorder="1" applyAlignment="1"/>
    <xf numFmtId="0" fontId="2" fillId="0" borderId="98" xfId="0" applyFont="1" applyFill="1" applyBorder="1" applyAlignment="1"/>
    <xf numFmtId="0" fontId="2" fillId="0" borderId="99" xfId="0" applyFont="1" applyFill="1" applyBorder="1" applyAlignment="1"/>
    <xf numFmtId="0" fontId="2" fillId="0" borderId="100" xfId="0" applyFont="1" applyFill="1" applyBorder="1" applyAlignment="1"/>
    <xf numFmtId="0" fontId="2" fillId="0" borderId="5" xfId="0" applyFont="1" applyFill="1" applyBorder="1" applyAlignment="1"/>
    <xf numFmtId="1" fontId="5" fillId="0" borderId="101" xfId="0" applyNumberFormat="1" applyFont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3" xfId="0" quotePrefix="1" applyFont="1" applyFill="1" applyBorder="1" applyAlignment="1">
      <alignment horizontal="center"/>
    </xf>
    <xf numFmtId="0" fontId="1" fillId="0" borderId="13" xfId="0" applyFont="1" applyFill="1" applyBorder="1"/>
    <xf numFmtId="0" fontId="1" fillId="0" borderId="80" xfId="0" applyFont="1" applyFill="1" applyBorder="1" applyAlignment="1">
      <alignment vertical="center"/>
    </xf>
    <xf numFmtId="0" fontId="2" fillId="0" borderId="50" xfId="0" applyFont="1" applyFill="1" applyBorder="1" applyAlignment="1"/>
    <xf numFmtId="0" fontId="1" fillId="0" borderId="0" xfId="0" applyFont="1"/>
    <xf numFmtId="0" fontId="1" fillId="0" borderId="0" xfId="0" applyFont="1" applyFill="1" applyAlignment="1">
      <alignment horizontal="center"/>
    </xf>
    <xf numFmtId="0" fontId="1" fillId="0" borderId="0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Fill="1"/>
    <xf numFmtId="0" fontId="1" fillId="0" borderId="0" xfId="0" applyFont="1" applyBorder="1"/>
    <xf numFmtId="0" fontId="1" fillId="0" borderId="8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" fillId="0" borderId="3" xfId="0" applyFont="1" applyBorder="1"/>
    <xf numFmtId="0" fontId="1" fillId="0" borderId="47" xfId="0" applyFont="1" applyFill="1" applyBorder="1" applyAlignment="1">
      <alignment vertical="center"/>
    </xf>
    <xf numFmtId="0" fontId="11" fillId="0" borderId="102" xfId="0" applyFont="1" applyFill="1" applyBorder="1" applyAlignment="1">
      <alignment horizontal="right" vertical="center"/>
    </xf>
    <xf numFmtId="165" fontId="1" fillId="0" borderId="17" xfId="4" applyNumberFormat="1" applyBorder="1"/>
    <xf numFmtId="1" fontId="5" fillId="0" borderId="9" xfId="0" applyNumberFormat="1" applyFont="1" applyBorder="1" applyAlignment="1">
      <alignment horizontal="center"/>
    </xf>
    <xf numFmtId="0" fontId="2" fillId="0" borderId="49" xfId="0" applyFont="1" applyFill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0" fontId="2" fillId="0" borderId="106" xfId="0" applyFont="1" applyFill="1" applyBorder="1" applyAlignment="1">
      <alignment horizontal="center"/>
    </xf>
    <xf numFmtId="0" fontId="0" fillId="5" borderId="104" xfId="0" applyFill="1" applyBorder="1" applyAlignment="1">
      <alignment vertical="center"/>
    </xf>
    <xf numFmtId="0" fontId="0" fillId="4" borderId="104" xfId="0" applyFill="1" applyBorder="1" applyAlignment="1">
      <alignment vertical="center"/>
    </xf>
    <xf numFmtId="0" fontId="11" fillId="0" borderId="23" xfId="0" applyFont="1" applyFill="1" applyBorder="1" applyAlignment="1">
      <alignment horizontal="center" vertical="center" textRotation="90"/>
    </xf>
    <xf numFmtId="0" fontId="11" fillId="0" borderId="25" xfId="0" applyFont="1" applyFill="1" applyBorder="1" applyAlignment="1">
      <alignment horizontal="center" vertical="center" textRotation="90"/>
    </xf>
    <xf numFmtId="0" fontId="11" fillId="0" borderId="26" xfId="0" applyFont="1" applyFill="1" applyBorder="1" applyAlignment="1">
      <alignment horizontal="center" vertical="center" textRotation="90"/>
    </xf>
    <xf numFmtId="0" fontId="11" fillId="0" borderId="27" xfId="0" applyFont="1" applyFill="1" applyBorder="1" applyAlignment="1">
      <alignment horizontal="center" vertical="center" textRotation="90"/>
    </xf>
    <xf numFmtId="0" fontId="9" fillId="0" borderId="32" xfId="0" applyFont="1" applyBorder="1" applyAlignment="1">
      <alignment horizontal="center" textRotation="90"/>
    </xf>
    <xf numFmtId="0" fontId="9" fillId="0" borderId="34" xfId="0" applyFont="1" applyBorder="1" applyAlignment="1">
      <alignment horizontal="center" textRotation="90"/>
    </xf>
    <xf numFmtId="0" fontId="9" fillId="0" borderId="35" xfId="0" applyFont="1" applyBorder="1" applyAlignment="1">
      <alignment horizontal="center" textRotation="90"/>
    </xf>
    <xf numFmtId="0" fontId="9" fillId="0" borderId="36" xfId="0" applyFont="1" applyBorder="1" applyAlignment="1">
      <alignment horizontal="center" textRotation="90"/>
    </xf>
    <xf numFmtId="0" fontId="11" fillId="0" borderId="29" xfId="0" applyFont="1" applyFill="1" applyBorder="1" applyAlignment="1">
      <alignment horizontal="center" vertical="center" textRotation="90"/>
    </xf>
    <xf numFmtId="0" fontId="9" fillId="0" borderId="37" xfId="0" applyFont="1" applyBorder="1" applyAlignment="1">
      <alignment horizontal="center" textRotation="90"/>
    </xf>
    <xf numFmtId="0" fontId="11" fillId="7" borderId="24" xfId="0" applyFont="1" applyFill="1" applyBorder="1" applyAlignment="1">
      <alignment horizontal="center" vertical="center" textRotation="90"/>
    </xf>
    <xf numFmtId="0" fontId="9" fillId="7" borderId="33" xfId="0" applyFont="1" applyFill="1" applyBorder="1" applyAlignment="1">
      <alignment horizontal="center" textRotation="90"/>
    </xf>
    <xf numFmtId="0" fontId="14" fillId="4" borderId="48" xfId="0" applyFont="1" applyFill="1" applyBorder="1" applyAlignment="1">
      <alignment horizontal="center"/>
    </xf>
    <xf numFmtId="0" fontId="1" fillId="0" borderId="20" xfId="0" applyFont="1" applyFill="1" applyBorder="1" applyAlignment="1">
      <alignment vertical="center"/>
    </xf>
    <xf numFmtId="0" fontId="11" fillId="7" borderId="23" xfId="0" applyFont="1" applyFill="1" applyBorder="1" applyAlignment="1">
      <alignment horizontal="center" vertical="center" textRotation="90"/>
    </xf>
    <xf numFmtId="0" fontId="9" fillId="7" borderId="32" xfId="0" applyFont="1" applyFill="1" applyBorder="1" applyAlignment="1">
      <alignment horizontal="center" textRotation="90"/>
    </xf>
    <xf numFmtId="0" fontId="9" fillId="0" borderId="48" xfId="0" applyFont="1" applyFill="1" applyBorder="1" applyAlignment="1">
      <alignment horizontal="center"/>
    </xf>
    <xf numFmtId="0" fontId="2" fillId="0" borderId="0" xfId="0" applyFont="1" applyFill="1"/>
    <xf numFmtId="0" fontId="1" fillId="0" borderId="63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 textRotation="90"/>
    </xf>
    <xf numFmtId="0" fontId="9" fillId="7" borderId="31" xfId="0" applyFont="1" applyFill="1" applyBorder="1" applyAlignment="1">
      <alignment horizontal="center" textRotation="90"/>
    </xf>
    <xf numFmtId="0" fontId="11" fillId="7" borderId="108" xfId="0" applyFont="1" applyFill="1" applyBorder="1" applyAlignment="1">
      <alignment horizontal="center" vertical="center" textRotation="90"/>
    </xf>
    <xf numFmtId="0" fontId="11" fillId="0" borderId="109" xfId="0" applyFont="1" applyFill="1" applyBorder="1" applyAlignment="1">
      <alignment horizontal="center" vertical="center" textRotation="90"/>
    </xf>
    <xf numFmtId="0" fontId="11" fillId="0" borderId="111" xfId="0" applyFont="1" applyFill="1" applyBorder="1" applyAlignment="1">
      <alignment horizontal="center" vertical="center" textRotation="90"/>
    </xf>
    <xf numFmtId="0" fontId="11" fillId="0" borderId="112" xfId="0" applyFont="1" applyFill="1" applyBorder="1" applyAlignment="1">
      <alignment horizontal="center" vertical="center" textRotation="90"/>
    </xf>
    <xf numFmtId="0" fontId="11" fillId="0" borderId="113" xfId="0" applyFont="1" applyFill="1" applyBorder="1" applyAlignment="1">
      <alignment horizontal="center" vertical="center" textRotation="90"/>
    </xf>
    <xf numFmtId="0" fontId="11" fillId="7" borderId="110" xfId="0" applyFont="1" applyFill="1" applyBorder="1" applyAlignment="1">
      <alignment horizontal="center" vertical="center" textRotation="90"/>
    </xf>
    <xf numFmtId="0" fontId="11" fillId="7" borderId="109" xfId="0" applyFont="1" applyFill="1" applyBorder="1" applyAlignment="1">
      <alignment horizontal="center" vertical="center" textRotation="90"/>
    </xf>
    <xf numFmtId="0" fontId="9" fillId="7" borderId="36" xfId="0" applyFont="1" applyFill="1" applyBorder="1" applyAlignment="1">
      <alignment horizontal="center" textRotation="90"/>
    </xf>
    <xf numFmtId="0" fontId="11" fillId="7" borderId="26" xfId="0" applyFont="1" applyFill="1" applyBorder="1" applyAlignment="1">
      <alignment horizontal="center" vertical="center" textRotation="90"/>
    </xf>
    <xf numFmtId="0" fontId="11" fillId="7" borderId="112" xfId="0" applyFont="1" applyFill="1" applyBorder="1" applyAlignment="1">
      <alignment horizontal="center" vertical="center" textRotation="90"/>
    </xf>
    <xf numFmtId="0" fontId="9" fillId="7" borderId="35" xfId="0" applyFont="1" applyFill="1" applyBorder="1" applyAlignment="1">
      <alignment horizontal="center" textRotation="90"/>
    </xf>
    <xf numFmtId="0" fontId="18" fillId="0" borderId="98" xfId="0" applyFont="1" applyFill="1" applyBorder="1" applyAlignment="1"/>
    <xf numFmtId="0" fontId="11" fillId="0" borderId="45" xfId="0" applyFont="1" applyFill="1" applyBorder="1" applyAlignment="1">
      <alignment horizontal="right" vertical="center"/>
    </xf>
    <xf numFmtId="0" fontId="11" fillId="7" borderId="27" xfId="0" applyFont="1" applyFill="1" applyBorder="1" applyAlignment="1">
      <alignment horizontal="center" vertical="center" textRotation="90"/>
    </xf>
    <xf numFmtId="0" fontId="19" fillId="0" borderId="27" xfId="0" applyFont="1" applyFill="1" applyBorder="1" applyAlignment="1">
      <alignment horizontal="center"/>
    </xf>
    <xf numFmtId="0" fontId="19" fillId="0" borderId="67" xfId="0" applyFont="1" applyFill="1" applyBorder="1" applyAlignment="1"/>
    <xf numFmtId="0" fontId="19" fillId="0" borderId="22" xfId="0" applyFont="1" applyFill="1" applyBorder="1" applyAlignment="1">
      <alignment horizontal="center"/>
    </xf>
    <xf numFmtId="0" fontId="5" fillId="0" borderId="9" xfId="0" applyFont="1" applyFill="1" applyBorder="1" applyAlignment="1"/>
    <xf numFmtId="0" fontId="19" fillId="0" borderId="98" xfId="0" applyFont="1" applyFill="1" applyBorder="1" applyAlignment="1"/>
    <xf numFmtId="0" fontId="19" fillId="0" borderId="24" xfId="0" applyFont="1" applyFill="1" applyBorder="1" applyAlignment="1">
      <alignment horizontal="center"/>
    </xf>
    <xf numFmtId="0" fontId="5" fillId="0" borderId="98" xfId="0" applyFont="1" applyFill="1" applyBorder="1" applyAlignment="1"/>
    <xf numFmtId="0" fontId="11" fillId="7" borderId="25" xfId="0" applyFont="1" applyFill="1" applyBorder="1" applyAlignment="1">
      <alignment horizontal="center" vertical="center" textRotation="90"/>
    </xf>
    <xf numFmtId="0" fontId="11" fillId="7" borderId="111" xfId="0" applyFont="1" applyFill="1" applyBorder="1" applyAlignment="1">
      <alignment horizontal="center" vertical="center" textRotation="90"/>
    </xf>
    <xf numFmtId="0" fontId="9" fillId="7" borderId="34" xfId="0" applyFont="1" applyFill="1" applyBorder="1" applyAlignment="1">
      <alignment horizontal="center" textRotation="90"/>
    </xf>
    <xf numFmtId="0" fontId="19" fillId="0" borderId="25" xfId="0" applyFont="1" applyFill="1" applyBorder="1" applyAlignment="1">
      <alignment horizontal="center"/>
    </xf>
    <xf numFmtId="0" fontId="9" fillId="7" borderId="43" xfId="0" applyFont="1" applyFill="1" applyBorder="1" applyAlignment="1">
      <alignment horizontal="center" vertical="center" textRotation="90"/>
    </xf>
    <xf numFmtId="0" fontId="9" fillId="0" borderId="52" xfId="0" applyFont="1" applyBorder="1" applyAlignment="1">
      <alignment horizontal="center" vertical="center" textRotation="90"/>
    </xf>
    <xf numFmtId="0" fontId="9" fillId="7" borderId="53" xfId="0" applyFont="1" applyFill="1" applyBorder="1" applyAlignment="1">
      <alignment horizontal="center" vertical="center" textRotation="90"/>
    </xf>
    <xf numFmtId="0" fontId="9" fillId="0" borderId="54" xfId="0" applyFont="1" applyBorder="1" applyAlignment="1">
      <alignment horizontal="center" vertical="center" textRotation="90"/>
    </xf>
    <xf numFmtId="0" fontId="9" fillId="7" borderId="55" xfId="0" applyFont="1" applyFill="1" applyBorder="1" applyAlignment="1">
      <alignment horizontal="center" vertical="center" textRotation="90"/>
    </xf>
    <xf numFmtId="0" fontId="9" fillId="7" borderId="56" xfId="0" applyFont="1" applyFill="1" applyBorder="1" applyAlignment="1">
      <alignment horizontal="center" vertical="center" textRotation="90"/>
    </xf>
    <xf numFmtId="0" fontId="9" fillId="0" borderId="55" xfId="0" applyFont="1" applyBorder="1" applyAlignment="1">
      <alignment horizontal="center" vertical="center" textRotation="90"/>
    </xf>
    <xf numFmtId="0" fontId="9" fillId="7" borderId="38" xfId="0" applyFont="1" applyFill="1" applyBorder="1" applyAlignment="1">
      <alignment horizontal="center" vertical="center" textRotation="90"/>
    </xf>
    <xf numFmtId="0" fontId="9" fillId="0" borderId="56" xfId="0" applyFont="1" applyBorder="1" applyAlignment="1">
      <alignment horizontal="center" vertical="center" textRotation="90"/>
    </xf>
    <xf numFmtId="0" fontId="9" fillId="7" borderId="54" xfId="0" applyFont="1" applyFill="1" applyBorder="1" applyAlignment="1">
      <alignment horizontal="center" vertical="center" textRotation="90"/>
    </xf>
    <xf numFmtId="0" fontId="9" fillId="0" borderId="38" xfId="0" applyFont="1" applyBorder="1" applyAlignment="1">
      <alignment horizontal="center" vertical="center" textRotation="90"/>
    </xf>
    <xf numFmtId="0" fontId="11" fillId="8" borderId="45" xfId="0" applyFont="1" applyFill="1" applyBorder="1" applyAlignment="1">
      <alignment horizontal="right" vertical="center"/>
    </xf>
    <xf numFmtId="0" fontId="1" fillId="8" borderId="80" xfId="0" applyFont="1" applyFill="1" applyBorder="1" applyAlignment="1">
      <alignment vertical="center"/>
    </xf>
    <xf numFmtId="0" fontId="19" fillId="8" borderId="22" xfId="0" applyFont="1" applyFill="1" applyBorder="1" applyAlignment="1">
      <alignment horizontal="center"/>
    </xf>
    <xf numFmtId="0" fontId="2" fillId="8" borderId="25" xfId="0" applyFont="1" applyFill="1" applyBorder="1" applyAlignment="1">
      <alignment horizontal="center"/>
    </xf>
    <xf numFmtId="0" fontId="19" fillId="8" borderId="24" xfId="0" applyFont="1" applyFill="1" applyBorder="1" applyAlignment="1">
      <alignment horizontal="center"/>
    </xf>
    <xf numFmtId="0" fontId="19" fillId="8" borderId="27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center"/>
    </xf>
    <xf numFmtId="0" fontId="2" fillId="8" borderId="24" xfId="0" applyFont="1" applyFill="1" applyBorder="1" applyAlignment="1">
      <alignment horizontal="center"/>
    </xf>
    <xf numFmtId="0" fontId="19" fillId="8" borderId="26" xfId="0" applyFont="1" applyFill="1" applyBorder="1" applyAlignment="1">
      <alignment horizontal="center"/>
    </xf>
    <xf numFmtId="0" fontId="2" fillId="8" borderId="27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8" borderId="22" xfId="0" applyFont="1" applyFill="1" applyBorder="1" applyAlignment="1">
      <alignment horizontal="center"/>
    </xf>
    <xf numFmtId="0" fontId="2" fillId="8" borderId="26" xfId="0" applyFont="1" applyFill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0" fontId="2" fillId="8" borderId="60" xfId="0" applyFont="1" applyFill="1" applyBorder="1" applyAlignment="1">
      <alignment horizontal="center"/>
    </xf>
    <xf numFmtId="0" fontId="1" fillId="8" borderId="63" xfId="0" applyFont="1" applyFill="1" applyBorder="1" applyAlignment="1">
      <alignment horizontal="center" vertical="center"/>
    </xf>
    <xf numFmtId="0" fontId="2" fillId="8" borderId="44" xfId="0" applyFont="1" applyFill="1" applyBorder="1" applyAlignment="1">
      <alignment horizontal="center"/>
    </xf>
    <xf numFmtId="0" fontId="2" fillId="8" borderId="59" xfId="0" applyFont="1" applyFill="1" applyBorder="1" applyAlignment="1">
      <alignment horizontal="center"/>
    </xf>
    <xf numFmtId="0" fontId="2" fillId="8" borderId="106" xfId="0" applyFont="1" applyFill="1" applyBorder="1" applyAlignment="1">
      <alignment horizontal="center"/>
    </xf>
    <xf numFmtId="0" fontId="2" fillId="8" borderId="49" xfId="0" applyFont="1" applyFill="1" applyBorder="1" applyAlignment="1">
      <alignment horizontal="center"/>
    </xf>
    <xf numFmtId="0" fontId="1" fillId="8" borderId="107" xfId="0" applyFont="1" applyFill="1" applyBorder="1" applyAlignment="1">
      <alignment horizontal="center" vertical="center"/>
    </xf>
    <xf numFmtId="0" fontId="9" fillId="0" borderId="58" xfId="0" applyFont="1" applyBorder="1" applyAlignment="1">
      <alignment horizontal="center" vertical="center" textRotation="90"/>
    </xf>
    <xf numFmtId="0" fontId="2" fillId="8" borderId="40" xfId="0" applyFont="1" applyFill="1" applyBorder="1" applyAlignment="1">
      <alignment horizontal="center"/>
    </xf>
    <xf numFmtId="0" fontId="19" fillId="8" borderId="46" xfId="0" applyFont="1" applyFill="1" applyBorder="1" applyAlignment="1">
      <alignment horizontal="center"/>
    </xf>
    <xf numFmtId="0" fontId="19" fillId="8" borderId="41" xfId="0" applyFont="1" applyFill="1" applyBorder="1" applyAlignment="1">
      <alignment horizontal="center"/>
    </xf>
    <xf numFmtId="0" fontId="2" fillId="8" borderId="39" xfId="0" applyFont="1" applyFill="1" applyBorder="1" applyAlignment="1">
      <alignment horizontal="center"/>
    </xf>
    <xf numFmtId="0" fontId="2" fillId="8" borderId="46" xfId="0" applyFont="1" applyFill="1" applyBorder="1" applyAlignment="1">
      <alignment horizontal="center"/>
    </xf>
    <xf numFmtId="0" fontId="2" fillId="8" borderId="42" xfId="0" applyFont="1" applyFill="1" applyBorder="1" applyAlignment="1">
      <alignment horizontal="center"/>
    </xf>
    <xf numFmtId="0" fontId="2" fillId="8" borderId="41" xfId="0" applyFont="1" applyFill="1" applyBorder="1" applyAlignment="1">
      <alignment horizontal="center"/>
    </xf>
    <xf numFmtId="0" fontId="2" fillId="8" borderId="47" xfId="0" applyFont="1" applyFill="1" applyBorder="1" applyAlignment="1">
      <alignment horizontal="center"/>
    </xf>
    <xf numFmtId="0" fontId="2" fillId="8" borderId="45" xfId="0" applyFont="1" applyFill="1" applyBorder="1" applyAlignment="1">
      <alignment horizontal="center"/>
    </xf>
    <xf numFmtId="0" fontId="1" fillId="8" borderId="65" xfId="0" applyFont="1" applyFill="1" applyBorder="1" applyAlignment="1">
      <alignment horizontal="center" vertical="center"/>
    </xf>
    <xf numFmtId="0" fontId="11" fillId="0" borderId="64" xfId="0" applyFont="1" applyFill="1" applyBorder="1" applyAlignment="1">
      <alignment horizontal="center" vertical="center"/>
    </xf>
    <xf numFmtId="0" fontId="11" fillId="0" borderId="63" xfId="0" applyFont="1" applyFill="1" applyBorder="1" applyAlignment="1">
      <alignment horizontal="center" vertical="center"/>
    </xf>
    <xf numFmtId="0" fontId="11" fillId="0" borderId="70" xfId="0" applyFont="1" applyFill="1" applyBorder="1" applyAlignment="1">
      <alignment horizontal="center" vertical="center"/>
    </xf>
    <xf numFmtId="0" fontId="11" fillId="8" borderId="65" xfId="0" applyFont="1" applyFill="1" applyBorder="1" applyAlignment="1">
      <alignment horizontal="center" vertical="center"/>
    </xf>
    <xf numFmtId="0" fontId="11" fillId="8" borderId="69" xfId="0" applyFont="1" applyFill="1" applyBorder="1" applyAlignment="1">
      <alignment horizontal="center" vertical="center"/>
    </xf>
    <xf numFmtId="0" fontId="11" fillId="8" borderId="63" xfId="0" applyFont="1" applyFill="1" applyBorder="1" applyAlignment="1">
      <alignment horizontal="center" vertical="center"/>
    </xf>
    <xf numFmtId="0" fontId="11" fillId="8" borderId="107" xfId="0" applyFont="1" applyFill="1" applyBorder="1" applyAlignment="1">
      <alignment horizontal="center" vertical="center"/>
    </xf>
    <xf numFmtId="0" fontId="9" fillId="7" borderId="52" xfId="0" applyFont="1" applyFill="1" applyBorder="1" applyAlignment="1">
      <alignment horizontal="center" vertical="center" textRotation="90"/>
    </xf>
    <xf numFmtId="0" fontId="19" fillId="8" borderId="23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1" fillId="0" borderId="65" xfId="0" applyFont="1" applyFill="1" applyBorder="1" applyAlignment="1">
      <alignment horizontal="center" vertical="center"/>
    </xf>
    <xf numFmtId="0" fontId="19" fillId="0" borderId="26" xfId="0" applyFont="1" applyFill="1" applyBorder="1" applyAlignment="1">
      <alignment horizontal="center"/>
    </xf>
    <xf numFmtId="0" fontId="19" fillId="8" borderId="40" xfId="0" applyFont="1" applyFill="1" applyBorder="1" applyAlignment="1">
      <alignment horizontal="center"/>
    </xf>
    <xf numFmtId="0" fontId="19" fillId="0" borderId="106" xfId="0" applyFont="1" applyFill="1" applyBorder="1" applyAlignment="1">
      <alignment horizontal="center"/>
    </xf>
    <xf numFmtId="0" fontId="19" fillId="8" borderId="106" xfId="0" applyFont="1" applyFill="1" applyBorder="1" applyAlignment="1">
      <alignment horizontal="center"/>
    </xf>
    <xf numFmtId="0" fontId="1" fillId="0" borderId="114" xfId="0" applyFont="1" applyFill="1" applyBorder="1" applyAlignment="1">
      <alignment vertical="center"/>
    </xf>
    <xf numFmtId="0" fontId="11" fillId="7" borderId="50" xfId="0" applyFont="1" applyFill="1" applyBorder="1" applyAlignment="1">
      <alignment horizontal="center" vertical="center" textRotation="90"/>
    </xf>
    <xf numFmtId="0" fontId="9" fillId="7" borderId="51" xfId="0" applyFont="1" applyFill="1" applyBorder="1" applyAlignment="1">
      <alignment horizontal="center" textRotation="90"/>
    </xf>
    <xf numFmtId="0" fontId="9" fillId="7" borderId="57" xfId="0" applyFont="1" applyFill="1" applyBorder="1" applyAlignment="1">
      <alignment horizontal="center" vertical="center" textRotation="90"/>
    </xf>
    <xf numFmtId="0" fontId="14" fillId="0" borderId="98" xfId="0" applyFont="1" applyFill="1" applyBorder="1" applyAlignment="1"/>
    <xf numFmtId="0" fontId="9" fillId="0" borderId="9" xfId="0" applyFont="1" applyFill="1" applyBorder="1" applyAlignment="1"/>
    <xf numFmtId="0" fontId="9" fillId="0" borderId="97" xfId="0" applyFont="1" applyFill="1" applyBorder="1" applyAlignment="1"/>
    <xf numFmtId="0" fontId="9" fillId="0" borderId="98" xfId="0" applyFont="1" applyFill="1" applyBorder="1" applyAlignment="1"/>
    <xf numFmtId="0" fontId="9" fillId="0" borderId="99" xfId="0" applyFont="1" applyFill="1" applyBorder="1" applyAlignment="1"/>
    <xf numFmtId="0" fontId="9" fillId="0" borderId="100" xfId="0" applyFont="1" applyFill="1" applyBorder="1" applyAlignment="1"/>
    <xf numFmtId="0" fontId="9" fillId="0" borderId="5" xfId="0" applyFont="1" applyFill="1" applyBorder="1" applyAlignment="1"/>
    <xf numFmtId="0" fontId="9" fillId="0" borderId="28" xfId="0" applyFont="1" applyFill="1" applyBorder="1" applyAlignment="1"/>
    <xf numFmtId="0" fontId="9" fillId="0" borderId="66" xfId="0" applyFont="1" applyFill="1" applyBorder="1" applyAlignment="1"/>
    <xf numFmtId="0" fontId="9" fillId="0" borderId="67" xfId="0" applyFont="1" applyFill="1" applyBorder="1" applyAlignment="1"/>
    <xf numFmtId="0" fontId="9" fillId="0" borderId="68" xfId="0" applyFont="1" applyFill="1" applyBorder="1" applyAlignment="1"/>
    <xf numFmtId="0" fontId="9" fillId="0" borderId="29" xfId="0" applyFont="1" applyFill="1" applyBorder="1" applyAlignment="1"/>
    <xf numFmtId="0" fontId="9" fillId="0" borderId="69" xfId="0" applyFont="1" applyFill="1" applyBorder="1" applyAlignment="1"/>
    <xf numFmtId="0" fontId="9" fillId="0" borderId="50" xfId="0" applyFont="1" applyFill="1" applyBorder="1" applyAlignment="1"/>
    <xf numFmtId="0" fontId="14" fillId="0" borderId="9" xfId="0" applyFont="1" applyFill="1" applyBorder="1" applyAlignment="1"/>
    <xf numFmtId="0" fontId="7" fillId="0" borderId="70" xfId="0" applyFont="1" applyFill="1" applyBorder="1" applyAlignment="1">
      <alignment horizontal="center" vertical="center"/>
    </xf>
    <xf numFmtId="0" fontId="5" fillId="0" borderId="0" xfId="0" applyFont="1" applyFill="1"/>
    <xf numFmtId="0" fontId="14" fillId="0" borderId="66" xfId="0" applyFont="1" applyFill="1" applyBorder="1" applyAlignment="1"/>
    <xf numFmtId="0" fontId="5" fillId="0" borderId="97" xfId="0" applyFont="1" applyFill="1" applyBorder="1" applyAlignment="1"/>
    <xf numFmtId="0" fontId="5" fillId="0" borderId="99" xfId="0" applyFont="1" applyFill="1" applyBorder="1" applyAlignment="1"/>
    <xf numFmtId="0" fontId="5" fillId="0" borderId="100" xfId="0" applyFont="1" applyFill="1" applyBorder="1" applyAlignment="1"/>
    <xf numFmtId="0" fontId="5" fillId="0" borderId="5" xfId="0" applyFont="1" applyFill="1" applyBorder="1" applyAlignment="1"/>
    <xf numFmtId="0" fontId="7" fillId="0" borderId="64" xfId="0" applyFont="1" applyFill="1" applyBorder="1" applyAlignment="1">
      <alignment horizontal="center" vertical="center"/>
    </xf>
    <xf numFmtId="0" fontId="5" fillId="0" borderId="28" xfId="0" applyFont="1" applyFill="1" applyBorder="1" applyAlignment="1"/>
    <xf numFmtId="0" fontId="5" fillId="0" borderId="66" xfId="0" applyFont="1" applyFill="1" applyBorder="1" applyAlignment="1"/>
    <xf numFmtId="0" fontId="5" fillId="0" borderId="67" xfId="0" applyFont="1" applyFill="1" applyBorder="1" applyAlignment="1"/>
    <xf numFmtId="0" fontId="5" fillId="0" borderId="68" xfId="0" applyFont="1" applyFill="1" applyBorder="1" applyAlignment="1"/>
    <xf numFmtId="0" fontId="5" fillId="0" borderId="29" xfId="0" applyFont="1" applyFill="1" applyBorder="1" applyAlignment="1"/>
    <xf numFmtId="0" fontId="5" fillId="0" borderId="69" xfId="0" applyFont="1" applyFill="1" applyBorder="1" applyAlignment="1"/>
    <xf numFmtId="0" fontId="5" fillId="0" borderId="50" xfId="0" applyFont="1" applyFill="1" applyBorder="1" applyAlignment="1"/>
    <xf numFmtId="0" fontId="4" fillId="0" borderId="0" xfId="0" applyFont="1" applyFill="1"/>
    <xf numFmtId="0" fontId="14" fillId="0" borderId="97" xfId="0" applyFont="1" applyFill="1" applyBorder="1" applyAlignment="1"/>
    <xf numFmtId="0" fontId="14" fillId="0" borderId="99" xfId="0" applyFont="1" applyFill="1" applyBorder="1" applyAlignment="1"/>
    <xf numFmtId="0" fontId="14" fillId="0" borderId="100" xfId="0" applyFont="1" applyFill="1" applyBorder="1" applyAlignment="1"/>
    <xf numFmtId="0" fontId="14" fillId="0" borderId="5" xfId="0" applyFont="1" applyFill="1" applyBorder="1" applyAlignment="1"/>
    <xf numFmtId="0" fontId="7" fillId="0" borderId="105" xfId="0" applyFont="1" applyFill="1" applyBorder="1" applyAlignment="1">
      <alignment horizontal="center" vertical="center"/>
    </xf>
    <xf numFmtId="0" fontId="14" fillId="0" borderId="67" xfId="0" applyFont="1" applyFill="1" applyBorder="1" applyAlignment="1"/>
    <xf numFmtId="0" fontId="7" fillId="0" borderId="96" xfId="0" applyFont="1" applyBorder="1" applyAlignment="1">
      <alignment horizontal="center"/>
    </xf>
    <xf numFmtId="0" fontId="7" fillId="0" borderId="8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5" borderId="90" xfId="0" applyFont="1" applyFill="1" applyBorder="1" applyAlignment="1">
      <alignment horizontal="center" vertical="center" textRotation="90"/>
    </xf>
    <xf numFmtId="0" fontId="9" fillId="5" borderId="70" xfId="0" applyFont="1" applyFill="1" applyBorder="1" applyAlignment="1">
      <alignment horizontal="center" vertical="center" textRotation="90"/>
    </xf>
    <xf numFmtId="0" fontId="9" fillId="5" borderId="94" xfId="0" applyFont="1" applyFill="1" applyBorder="1" applyAlignment="1">
      <alignment horizontal="center" vertical="center" textRotation="90"/>
    </xf>
    <xf numFmtId="0" fontId="9" fillId="5" borderId="91" xfId="0" applyFont="1" applyFill="1" applyBorder="1" applyAlignment="1">
      <alignment horizontal="center" vertical="center" textRotation="90"/>
    </xf>
    <xf numFmtId="0" fontId="11" fillId="3" borderId="92" xfId="0" applyFont="1" applyFill="1" applyBorder="1" applyAlignment="1">
      <alignment horizontal="center"/>
    </xf>
    <xf numFmtId="0" fontId="11" fillId="3" borderId="93" xfId="0" applyFont="1" applyFill="1" applyBorder="1" applyAlignment="1">
      <alignment horizontal="center"/>
    </xf>
    <xf numFmtId="0" fontId="11" fillId="3" borderId="62" xfId="0" applyFont="1" applyFill="1" applyBorder="1" applyAlignment="1">
      <alignment horizontal="center"/>
    </xf>
    <xf numFmtId="0" fontId="11" fillId="3" borderId="61" xfId="0" applyFont="1" applyFill="1" applyBorder="1" applyAlignment="1">
      <alignment horizontal="center"/>
    </xf>
    <xf numFmtId="0" fontId="11" fillId="3" borderId="95" xfId="0" applyFont="1" applyFill="1" applyBorder="1" applyAlignment="1">
      <alignment horizontal="center"/>
    </xf>
    <xf numFmtId="0" fontId="0" fillId="0" borderId="32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35" xfId="0" applyBorder="1" applyAlignment="1">
      <alignment horizontal="left"/>
    </xf>
    <xf numFmtId="0" fontId="12" fillId="0" borderId="0" xfId="2" applyNumberFormat="1" applyFont="1" applyAlignment="1" applyProtection="1">
      <alignment horizontal="left"/>
    </xf>
    <xf numFmtId="0" fontId="15" fillId="0" borderId="0" xfId="2" applyFont="1" applyAlignment="1" applyProtection="1">
      <alignment horizontal="left"/>
    </xf>
    <xf numFmtId="0" fontId="1" fillId="0" borderId="0" xfId="2" applyNumberFormat="1" applyFont="1" applyAlignment="1" applyProtection="1">
      <alignment horizontal="left"/>
    </xf>
    <xf numFmtId="0" fontId="8" fillId="0" borderId="0" xfId="2" applyAlignment="1" applyProtection="1">
      <alignment horizontal="left"/>
    </xf>
    <xf numFmtId="0" fontId="11" fillId="3" borderId="84" xfId="0" applyFont="1" applyFill="1" applyBorder="1" applyAlignment="1">
      <alignment horizontal="left"/>
    </xf>
    <xf numFmtId="0" fontId="11" fillId="3" borderId="85" xfId="0" applyFont="1" applyFill="1" applyBorder="1" applyAlignment="1">
      <alignment horizontal="left"/>
    </xf>
    <xf numFmtId="0" fontId="11" fillId="3" borderId="86" xfId="0" applyFont="1" applyFill="1" applyBorder="1" applyAlignment="1">
      <alignment horizontal="left"/>
    </xf>
    <xf numFmtId="166" fontId="17" fillId="0" borderId="13" xfId="3" applyNumberFormat="1" applyFont="1" applyBorder="1" applyAlignment="1">
      <alignment horizontal="center"/>
    </xf>
    <xf numFmtId="166" fontId="17" fillId="0" borderId="16" xfId="3" applyNumberFormat="1" applyFont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87" xfId="0" applyBorder="1" applyAlignment="1">
      <alignment horizontal="left"/>
    </xf>
    <xf numFmtId="165" fontId="1" fillId="0" borderId="87" xfId="4" applyNumberFormat="1" applyBorder="1" applyAlignment="1">
      <alignment horizontal="center"/>
    </xf>
    <xf numFmtId="165" fontId="1" fillId="0" borderId="20" xfId="4" applyNumberFormat="1" applyBorder="1" applyAlignment="1">
      <alignment horizontal="center"/>
    </xf>
    <xf numFmtId="0" fontId="0" fillId="0" borderId="88" xfId="0" applyBorder="1" applyAlignment="1">
      <alignment horizontal="left"/>
    </xf>
    <xf numFmtId="0" fontId="0" fillId="0" borderId="89" xfId="0" applyBorder="1" applyAlignment="1">
      <alignment horizontal="left"/>
    </xf>
    <xf numFmtId="165" fontId="1" fillId="0" borderId="89" xfId="4" applyNumberFormat="1" applyBorder="1" applyAlignment="1">
      <alignment horizontal="center"/>
    </xf>
    <xf numFmtId="165" fontId="1" fillId="0" borderId="30" xfId="4" applyNumberFormat="1" applyBorder="1" applyAlignment="1">
      <alignment horizontal="center"/>
    </xf>
    <xf numFmtId="0" fontId="0" fillId="0" borderId="103" xfId="0" applyBorder="1" applyAlignment="1">
      <alignment horizontal="left"/>
    </xf>
    <xf numFmtId="0" fontId="0" fillId="0" borderId="18" xfId="0" applyBorder="1" applyAlignment="1">
      <alignment horizontal="left"/>
    </xf>
    <xf numFmtId="0" fontId="10" fillId="0" borderId="78" xfId="0" applyFont="1" applyBorder="1" applyAlignment="1">
      <alignment horizontal="center"/>
    </xf>
    <xf numFmtId="0" fontId="10" fillId="0" borderId="81" xfId="0" applyFont="1" applyBorder="1" applyAlignment="1">
      <alignment horizontal="center"/>
    </xf>
    <xf numFmtId="0" fontId="10" fillId="0" borderId="82" xfId="0" applyFont="1" applyBorder="1" applyAlignment="1">
      <alignment horizontal="center"/>
    </xf>
    <xf numFmtId="0" fontId="11" fillId="3" borderId="83" xfId="0" applyFont="1" applyFill="1" applyBorder="1" applyAlignment="1">
      <alignment horizontal="center"/>
    </xf>
    <xf numFmtId="0" fontId="11" fillId="3" borderId="14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" fillId="8" borderId="16" xfId="0" applyFont="1" applyFill="1" applyBorder="1" applyAlignment="1">
      <alignment vertical="center"/>
    </xf>
    <xf numFmtId="0" fontId="0" fillId="5" borderId="116" xfId="0" applyFill="1" applyBorder="1" applyAlignment="1">
      <alignment vertical="center"/>
    </xf>
    <xf numFmtId="0" fontId="11" fillId="8" borderId="115" xfId="0" applyFont="1" applyFill="1" applyBorder="1" applyAlignment="1">
      <alignment horizontal="center" vertical="center"/>
    </xf>
    <xf numFmtId="0" fontId="2" fillId="0" borderId="103" xfId="0" applyFont="1" applyFill="1" applyBorder="1" applyAlignment="1"/>
    <xf numFmtId="0" fontId="2" fillId="0" borderId="117" xfId="0" applyFont="1" applyFill="1" applyBorder="1" applyAlignment="1"/>
    <xf numFmtId="0" fontId="2" fillId="0" borderId="118" xfId="0" applyFont="1" applyFill="1" applyBorder="1" applyAlignment="1"/>
    <xf numFmtId="0" fontId="2" fillId="0" borderId="119" xfId="0" applyFont="1" applyFill="1" applyBorder="1" applyAlignment="1"/>
    <xf numFmtId="0" fontId="2" fillId="0" borderId="37" xfId="0" applyFont="1" applyFill="1" applyBorder="1" applyAlignment="1"/>
    <xf numFmtId="0" fontId="2" fillId="0" borderId="120" xfId="0" applyFont="1" applyFill="1" applyBorder="1" applyAlignment="1"/>
    <xf numFmtId="0" fontId="0" fillId="5" borderId="107" xfId="0" applyFill="1" applyBorder="1" applyAlignment="1">
      <alignment vertical="center"/>
    </xf>
  </cellXfs>
  <cellStyles count="5">
    <cellStyle name="Euro" xfId="1"/>
    <cellStyle name="Lien hypertexte" xfId="2" builtinId="8"/>
    <cellStyle name="Milliers" xfId="3" builtinId="3"/>
    <cellStyle name="Monétaire" xfId="4" builtinId="4"/>
    <cellStyle name="Normal" xfId="0" builtinId="0"/>
  </cellStyles>
  <dxfs count="95"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FFFF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</dxfs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ker4.github.io/pool/laval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93"/>
  <sheetViews>
    <sheetView tabSelected="1" workbookViewId="0">
      <selection activeCell="AP26" sqref="AP26"/>
    </sheetView>
  </sheetViews>
  <sheetFormatPr baseColWidth="10" defaultColWidth="11.42578125" defaultRowHeight="12.75" x14ac:dyDescent="0.2"/>
  <cols>
    <col min="1" max="1" width="5.140625" style="31" bestFit="1" customWidth="1"/>
    <col min="2" max="2" width="20.85546875" customWidth="1"/>
    <col min="3" max="4" width="3.28515625" customWidth="1"/>
    <col min="5" max="14" width="3.28515625" bestFit="1" customWidth="1"/>
    <col min="15" max="18" width="3.28515625" customWidth="1"/>
    <col min="19" max="19" width="5.7109375" customWidth="1"/>
    <col min="20" max="27" width="3.28515625" bestFit="1" customWidth="1"/>
    <col min="28" max="28" width="5.7109375" customWidth="1"/>
    <col min="29" max="32" width="3.28515625" bestFit="1" customWidth="1"/>
    <col min="33" max="33" width="5.7109375" customWidth="1"/>
    <col min="34" max="34" width="3.28515625" customWidth="1"/>
    <col min="35" max="35" width="3.28515625" bestFit="1" customWidth="1"/>
    <col min="36" max="36" width="5.7109375" customWidth="1"/>
    <col min="37" max="37" width="7.85546875" bestFit="1" customWidth="1"/>
    <col min="38" max="38" width="7.85546875" customWidth="1"/>
  </cols>
  <sheetData>
    <row r="1" spans="1:38" x14ac:dyDescent="0.2"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</row>
    <row r="2" spans="1:38" x14ac:dyDescent="0.2">
      <c r="A2" s="41"/>
      <c r="C2" s="279" t="s">
        <v>58</v>
      </c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80" t="s">
        <v>59</v>
      </c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</row>
    <row r="3" spans="1:38" ht="6.95" customHeight="1" thickBot="1" x14ac:dyDescent="0.25"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</row>
    <row r="4" spans="1:38" ht="13.5" thickBot="1" x14ac:dyDescent="0.25">
      <c r="C4" s="261" t="s">
        <v>0</v>
      </c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3"/>
      <c r="T4" s="261" t="s">
        <v>1</v>
      </c>
      <c r="U4" s="262"/>
      <c r="V4" s="262"/>
      <c r="W4" s="262"/>
      <c r="X4" s="262"/>
      <c r="Y4" s="262"/>
      <c r="Z4" s="262"/>
      <c r="AA4" s="262"/>
      <c r="AB4" s="263"/>
      <c r="AC4" s="261" t="s">
        <v>2</v>
      </c>
      <c r="AD4" s="262"/>
      <c r="AE4" s="262"/>
      <c r="AF4" s="262"/>
      <c r="AG4" s="264"/>
      <c r="AH4" s="261" t="s">
        <v>10</v>
      </c>
      <c r="AI4" s="262"/>
      <c r="AJ4" s="263"/>
    </row>
    <row r="5" spans="1:38" ht="12.75" customHeight="1" x14ac:dyDescent="0.2">
      <c r="A5" s="32"/>
      <c r="B5" s="4"/>
      <c r="C5" s="273" t="s">
        <v>9</v>
      </c>
      <c r="D5" s="270"/>
      <c r="E5" s="270"/>
      <c r="F5" s="270"/>
      <c r="G5" s="270"/>
      <c r="H5" s="270"/>
      <c r="I5" s="270"/>
      <c r="J5" s="271"/>
      <c r="K5" s="269" t="s">
        <v>8</v>
      </c>
      <c r="L5" s="270"/>
      <c r="M5" s="270"/>
      <c r="N5" s="270"/>
      <c r="O5" s="270"/>
      <c r="P5" s="270"/>
      <c r="Q5" s="270"/>
      <c r="R5" s="271"/>
      <c r="S5" s="265" t="s">
        <v>12</v>
      </c>
      <c r="T5" s="273" t="s">
        <v>9</v>
      </c>
      <c r="U5" s="270"/>
      <c r="V5" s="270"/>
      <c r="W5" s="271"/>
      <c r="X5" s="269" t="s">
        <v>8</v>
      </c>
      <c r="Y5" s="270"/>
      <c r="Z5" s="270"/>
      <c r="AA5" s="271"/>
      <c r="AB5" s="265" t="s">
        <v>13</v>
      </c>
      <c r="AC5" s="272" t="s">
        <v>9</v>
      </c>
      <c r="AD5" s="271"/>
      <c r="AE5" s="269" t="s">
        <v>8</v>
      </c>
      <c r="AF5" s="271"/>
      <c r="AG5" s="265" t="s">
        <v>14</v>
      </c>
      <c r="AH5" s="57"/>
      <c r="AI5" s="25"/>
      <c r="AJ5" s="265" t="s">
        <v>15</v>
      </c>
      <c r="AK5" s="4"/>
    </row>
    <row r="6" spans="1:38" s="39" customFormat="1" ht="12.75" customHeight="1" x14ac:dyDescent="0.2">
      <c r="A6" s="38"/>
      <c r="B6" s="37"/>
      <c r="C6" s="135">
        <f>Résultats!$J$3</f>
        <v>4</v>
      </c>
      <c r="D6" s="116">
        <f>Résultats!$J$4</f>
        <v>1</v>
      </c>
      <c r="E6" s="126">
        <f>Résultats!$J$6</f>
        <v>4</v>
      </c>
      <c r="F6" s="117">
        <f>Résultats!$J$7</f>
        <v>3</v>
      </c>
      <c r="G6" s="126">
        <f>Résultats!$J$10</f>
        <v>4</v>
      </c>
      <c r="H6" s="117">
        <f>Résultats!$J$11</f>
        <v>2</v>
      </c>
      <c r="I6" s="126">
        <f>Résultats!$J$13</f>
        <v>4</v>
      </c>
      <c r="J6" s="116">
        <f>Résultats!$J$14</f>
        <v>2</v>
      </c>
      <c r="K6" s="145">
        <f>Résultats!$J$17</f>
        <v>4</v>
      </c>
      <c r="L6" s="116">
        <f>Résultats!$J$18</f>
        <v>2</v>
      </c>
      <c r="M6" s="126">
        <f>Résultats!$J$20</f>
        <v>4</v>
      </c>
      <c r="N6" s="117">
        <f>Résultats!$J$21</f>
        <v>1</v>
      </c>
      <c r="O6" s="126">
        <f>Résultats!$J$24</f>
        <v>4</v>
      </c>
      <c r="P6" s="117">
        <f>Résultats!$J$25</f>
        <v>0</v>
      </c>
      <c r="Q6" s="119">
        <f>Résultats!$J$27</f>
        <v>0</v>
      </c>
      <c r="R6" s="130">
        <f>Résultats!$J$28</f>
        <v>4</v>
      </c>
      <c r="S6" s="266"/>
      <c r="T6" s="135">
        <f>Résultats!$V$6</f>
        <v>4</v>
      </c>
      <c r="U6" s="116">
        <f>Résultats!$V$7</f>
        <v>1</v>
      </c>
      <c r="V6" s="126">
        <f>Résultats!$V$10</f>
        <v>4</v>
      </c>
      <c r="W6" s="116">
        <f>Résultats!$V$11</f>
        <v>2</v>
      </c>
      <c r="X6" s="118">
        <f>Résultats!$V$20</f>
        <v>3</v>
      </c>
      <c r="Y6" s="158">
        <f>Résultats!$V$21</f>
        <v>4</v>
      </c>
      <c r="Z6" s="150">
        <f>Résultats!$V$24</f>
        <v>4</v>
      </c>
      <c r="AA6" s="116">
        <f>Résultats!$V$25</f>
        <v>2</v>
      </c>
      <c r="AB6" s="266"/>
      <c r="AC6" s="119">
        <f>Résultats!$AH$8</f>
        <v>3</v>
      </c>
      <c r="AD6" s="130">
        <f>Résultats!$AH$9</f>
        <v>4</v>
      </c>
      <c r="AE6" s="118">
        <f>Résultats!$AH$22</f>
        <v>1</v>
      </c>
      <c r="AF6" s="130">
        <f>Résultats!$AH$23</f>
        <v>4</v>
      </c>
      <c r="AG6" s="266"/>
      <c r="AH6" s="221">
        <f>Résultats!$AH$15</f>
        <v>4</v>
      </c>
      <c r="AI6" s="124">
        <f>Résultats!$AH$16</f>
        <v>1</v>
      </c>
      <c r="AJ6" s="266"/>
      <c r="AK6" s="37"/>
    </row>
    <row r="7" spans="1:38" s="39" customFormat="1" ht="18" hidden="1" customHeight="1" x14ac:dyDescent="0.2">
      <c r="A7" s="38"/>
      <c r="B7" s="37"/>
      <c r="C7" s="137">
        <f>IF(ISBLANK($C10),0,($C$6*PT_VICTOIRE_R1)+IF($C$6=4,PT_PREDICTION_EQUIPE_R1+IF($C10=$C$6+$D$6,PT_PREDICTION_NB_PARTIES_R1,0),0))
+IF(ISBLANK($D10),0,($D$6*PT_VICTOIRE_R1)+IF($D$6=4,PT_PREDICTION_EQUIPE_R1+IF($D10=$C$6+$D$6,PT_PREDICTION_NB_PARTIES_R1,0),0))</f>
        <v>1</v>
      </c>
      <c r="D7" s="138"/>
      <c r="E7" s="142"/>
      <c r="F7" s="139"/>
      <c r="G7" s="146"/>
      <c r="H7" s="138"/>
      <c r="I7" s="142"/>
      <c r="J7" s="138"/>
      <c r="K7" s="141"/>
      <c r="L7" s="138"/>
      <c r="M7" s="142"/>
      <c r="N7" s="139"/>
      <c r="O7" s="142"/>
      <c r="P7" s="139"/>
      <c r="Q7" s="140"/>
      <c r="R7" s="143"/>
      <c r="S7" s="266"/>
      <c r="T7" s="137"/>
      <c r="U7" s="138"/>
      <c r="V7" s="142"/>
      <c r="W7" s="138"/>
      <c r="X7" s="141"/>
      <c r="Y7" s="159"/>
      <c r="Z7" s="146"/>
      <c r="AA7" s="138"/>
      <c r="AB7" s="266"/>
      <c r="AC7" s="140"/>
      <c r="AD7" s="143"/>
      <c r="AE7" s="141"/>
      <c r="AF7" s="143"/>
      <c r="AG7" s="266"/>
      <c r="AH7" s="221"/>
      <c r="AI7" s="124"/>
      <c r="AJ7" s="266"/>
      <c r="AK7" s="37"/>
    </row>
    <row r="8" spans="1:38" s="39" customFormat="1" ht="77.25" customHeight="1" thickBot="1" x14ac:dyDescent="0.25">
      <c r="A8" s="38"/>
      <c r="B8" s="37"/>
      <c r="C8" s="136" t="str">
        <f>Résultats!$B$3</f>
        <v>TAMPA BAY</v>
      </c>
      <c r="D8" s="120" t="str">
        <f>Résultats!$B$4</f>
        <v>NEW JERSEY</v>
      </c>
      <c r="E8" s="127" t="str">
        <f>Résultats!$B$6</f>
        <v>BOSTON</v>
      </c>
      <c r="F8" s="121" t="str">
        <f>Résultats!$B$7</f>
        <v>TORONTO</v>
      </c>
      <c r="G8" s="147" t="str">
        <f>Résultats!$B$10</f>
        <v>WASHINGTON</v>
      </c>
      <c r="H8" s="120" t="str">
        <f>Résultats!$B$11</f>
        <v>COLOMBUS</v>
      </c>
      <c r="I8" s="127" t="str">
        <f>Résultats!$B$13</f>
        <v>PITTSBURGH</v>
      </c>
      <c r="J8" s="120" t="str">
        <f>Résultats!$B$14</f>
        <v>PHILADELPHIE</v>
      </c>
      <c r="K8" s="144" t="str">
        <f>Résultats!$B$17</f>
        <v>NASHVILLE</v>
      </c>
      <c r="L8" s="120" t="str">
        <f>Résultats!$B$18</f>
        <v>COLORADO</v>
      </c>
      <c r="M8" s="127" t="str">
        <f>Résultats!$B$20</f>
        <v>WINNIPEG</v>
      </c>
      <c r="N8" s="121" t="str">
        <f>Résultats!$B$21</f>
        <v>MINNESOTA</v>
      </c>
      <c r="O8" s="127" t="str">
        <f>Résultats!$B$24</f>
        <v>VEGAS</v>
      </c>
      <c r="P8" s="121" t="str">
        <f>Résultats!$B$25</f>
        <v>LOS ANGELES</v>
      </c>
      <c r="Q8" s="122" t="str">
        <f>Résultats!$B$27</f>
        <v>ANAHEIM</v>
      </c>
      <c r="R8" s="131" t="str">
        <f>Résultats!$B$28</f>
        <v>SAN JOSE</v>
      </c>
      <c r="S8" s="266"/>
      <c r="T8" s="136" t="str">
        <f>Résultats!$N$6</f>
        <v>TAMPA BAY</v>
      </c>
      <c r="U8" s="120" t="str">
        <f>Résultats!$N$7</f>
        <v>BOSTON</v>
      </c>
      <c r="V8" s="127" t="str">
        <f>Résultats!$N$10</f>
        <v>WASHINGTON</v>
      </c>
      <c r="W8" s="120" t="str">
        <f>Résultats!$N$11</f>
        <v>PITTSBURGH</v>
      </c>
      <c r="X8" s="123" t="str">
        <f>Résultats!$N$20</f>
        <v>NASHVILLE</v>
      </c>
      <c r="Y8" s="160" t="str">
        <f>Résultats!$N$21</f>
        <v>WINNIPEG</v>
      </c>
      <c r="Z8" s="147" t="str">
        <f>Résultats!$N$24</f>
        <v>VEGAS</v>
      </c>
      <c r="AA8" s="120" t="str">
        <f>Résultats!$N$25</f>
        <v>SAN JOSE</v>
      </c>
      <c r="AB8" s="266"/>
      <c r="AC8" s="122" t="str">
        <f>Résultats!$Z$8</f>
        <v>TAMPA BAY</v>
      </c>
      <c r="AD8" s="131" t="str">
        <f>Résultats!$Z$9</f>
        <v>WASHINGTON</v>
      </c>
      <c r="AE8" s="123" t="str">
        <f>Résultats!$Z$22</f>
        <v>WINNIPEG</v>
      </c>
      <c r="AF8" s="131" t="str">
        <f>Résultats!$Z$23</f>
        <v>VEGAS</v>
      </c>
      <c r="AG8" s="266"/>
      <c r="AH8" s="222" t="str">
        <f>Résultats!$Z$15</f>
        <v>WASHINGTON</v>
      </c>
      <c r="AI8" s="125" t="str">
        <f>Résultats!$Z$16</f>
        <v>VEGAS</v>
      </c>
      <c r="AJ8" s="266"/>
      <c r="AK8" s="37"/>
    </row>
    <row r="9" spans="1:38" s="39" customFormat="1" ht="18.75" customHeight="1" thickBot="1" x14ac:dyDescent="0.25">
      <c r="A9" s="42" t="s">
        <v>7</v>
      </c>
      <c r="B9" s="40" t="s">
        <v>11</v>
      </c>
      <c r="C9" s="162" t="str">
        <f>Résultats!$A$3</f>
        <v>M1</v>
      </c>
      <c r="D9" s="163" t="str">
        <f>Résultats!$A$4</f>
        <v>WC</v>
      </c>
      <c r="E9" s="164" t="str">
        <f>Résultats!$A$6</f>
        <v>M2</v>
      </c>
      <c r="F9" s="165" t="str">
        <f>Résultats!$A$7</f>
        <v>M3</v>
      </c>
      <c r="G9" s="166" t="str">
        <f>Résultats!$A$10</f>
        <v>A1</v>
      </c>
      <c r="H9" s="163" t="str">
        <f>Résultats!$A$11</f>
        <v>WC</v>
      </c>
      <c r="I9" s="164" t="str">
        <f>Résultats!$A$13</f>
        <v>A2</v>
      </c>
      <c r="J9" s="163" t="str">
        <f>Résultats!$A$14</f>
        <v>A3</v>
      </c>
      <c r="K9" s="167" t="str">
        <f>Résultats!$A$17</f>
        <v>C1</v>
      </c>
      <c r="L9" s="163" t="str">
        <f>Résultats!$A$18</f>
        <v>WC</v>
      </c>
      <c r="M9" s="164" t="str">
        <f>Résultats!$A$20</f>
        <v>C2</v>
      </c>
      <c r="N9" s="165" t="str">
        <f>Résultats!$A$21</f>
        <v>C3</v>
      </c>
      <c r="O9" s="164" t="str">
        <f>Résultats!$A$24</f>
        <v>P1</v>
      </c>
      <c r="P9" s="165" t="str">
        <f>Résultats!$A$25</f>
        <v>WC</v>
      </c>
      <c r="Q9" s="168" t="str">
        <f>Résultats!$A$27</f>
        <v>P2</v>
      </c>
      <c r="R9" s="169" t="str">
        <f>Résultats!$A$28</f>
        <v>P3</v>
      </c>
      <c r="S9" s="268"/>
      <c r="T9" s="162" t="str">
        <f>Résultats!$M$6</f>
        <v>M1</v>
      </c>
      <c r="U9" s="163" t="str">
        <f>Résultats!$M$7</f>
        <v>M2</v>
      </c>
      <c r="V9" s="164" t="str">
        <f>Résultats!$M$10</f>
        <v>A1</v>
      </c>
      <c r="W9" s="163" t="str">
        <f>Résultats!$M$11</f>
        <v>A2</v>
      </c>
      <c r="X9" s="170" t="str">
        <f>Résultats!$M$20</f>
        <v>C1</v>
      </c>
      <c r="Y9" s="171" t="str">
        <f>Résultats!$M$21</f>
        <v>C2</v>
      </c>
      <c r="Z9" s="166" t="str">
        <f>Résultats!$M$24</f>
        <v>P1</v>
      </c>
      <c r="AA9" s="172" t="str">
        <f>Résultats!$M$25</f>
        <v>P3</v>
      </c>
      <c r="AB9" s="267"/>
      <c r="AC9" s="168" t="str">
        <f>Résultats!$Y$8</f>
        <v>M1</v>
      </c>
      <c r="AD9" s="212" t="str">
        <f>Résultats!$Y$9</f>
        <v>A1</v>
      </c>
      <c r="AE9" s="170" t="str">
        <f>Résultats!$Y$22</f>
        <v>C2</v>
      </c>
      <c r="AF9" s="212" t="str">
        <f>Résultats!$Y$23</f>
        <v>P1</v>
      </c>
      <c r="AG9" s="267"/>
      <c r="AH9" s="223" t="str">
        <f>Résultats!$Y$15</f>
        <v>A1</v>
      </c>
      <c r="AI9" s="194" t="str">
        <f>Résultats!$Y$16</f>
        <v>P1</v>
      </c>
      <c r="AJ9" s="268"/>
      <c r="AK9" s="132" t="s">
        <v>77</v>
      </c>
      <c r="AL9" s="128" t="s">
        <v>3</v>
      </c>
    </row>
    <row r="10" spans="1:38" ht="12.75" customHeight="1" thickTop="1" x14ac:dyDescent="0.2">
      <c r="A10" s="173">
        <f>RANK(AL10,$AL$10:$AL$82,)</f>
        <v>1</v>
      </c>
      <c r="B10" s="174" t="s">
        <v>61</v>
      </c>
      <c r="C10" s="203"/>
      <c r="D10" s="195">
        <v>5</v>
      </c>
      <c r="E10" s="196">
        <v>7</v>
      </c>
      <c r="F10" s="195"/>
      <c r="G10" s="197">
        <v>6</v>
      </c>
      <c r="H10" s="198"/>
      <c r="I10" s="196">
        <v>6</v>
      </c>
      <c r="J10" s="198"/>
      <c r="K10" s="200">
        <v>5</v>
      </c>
      <c r="L10" s="198"/>
      <c r="M10" s="199">
        <v>7</v>
      </c>
      <c r="N10" s="195"/>
      <c r="O10" s="199"/>
      <c r="P10" s="195">
        <v>7</v>
      </c>
      <c r="Q10" s="201"/>
      <c r="R10" s="202">
        <v>6</v>
      </c>
      <c r="S10" s="208">
        <f>SUM(C11:R11)</f>
        <v>61</v>
      </c>
      <c r="T10" s="203">
        <v>7</v>
      </c>
      <c r="U10" s="198"/>
      <c r="V10" s="196">
        <v>6</v>
      </c>
      <c r="W10" s="198"/>
      <c r="X10" s="200"/>
      <c r="Y10" s="217">
        <v>7</v>
      </c>
      <c r="Z10" s="201">
        <v>7</v>
      </c>
      <c r="AA10" s="202"/>
      <c r="AB10" s="208">
        <f>SUM(T11:AA11)</f>
        <v>64</v>
      </c>
      <c r="AC10" s="201"/>
      <c r="AD10" s="198">
        <v>6</v>
      </c>
      <c r="AE10" s="200">
        <v>7</v>
      </c>
      <c r="AF10" s="198"/>
      <c r="AG10" s="208">
        <f>SUM(AC11:AF11)</f>
        <v>20</v>
      </c>
      <c r="AH10" s="189">
        <v>7</v>
      </c>
      <c r="AI10" s="190"/>
      <c r="AJ10" s="208">
        <f>AH11</f>
        <v>24</v>
      </c>
      <c r="AK10" s="204">
        <f>MAX($AL$10:$AL$82) - AL10</f>
        <v>0</v>
      </c>
      <c r="AL10" s="215">
        <f>$S10+$AB10+$AG10+$AJ10</f>
        <v>169</v>
      </c>
    </row>
    <row r="11" spans="1:38" s="27" customFormat="1" hidden="1" x14ac:dyDescent="0.2">
      <c r="A11" s="108"/>
      <c r="B11" s="107"/>
      <c r="C11" s="225">
        <f>(IF($C10&lt;&gt;"",($C$6*$O$92)+IF($C$6=4,($O$90)+IF($C10=$C$6+$D$6,$O$91,0),0),0)+IF($D10&lt;&gt;"",($D$6*$O$92)+IF($D$6=4,($O$90)+IF($D10=$C$6+$D$6,$O$91,0),0),0))</f>
        <v>1</v>
      </c>
      <c r="D11" s="226"/>
      <c r="E11" s="224">
        <f>(IF($E10&lt;&gt;"",($E$6*$O$92)+IF($E$6=4,($O$90)+IF($E10=$E$6+$F$6,$O$91,0),0),0)+IF($F10&lt;&gt;"",($F$6*$O$92)+IF($F$6=4,($O$90)+IF($F10=$E$6+$F$6,$O$91,0),0),0))</f>
        <v>11</v>
      </c>
      <c r="F11" s="226"/>
      <c r="G11" s="224">
        <f>(IF($G10&lt;&gt;"",($G$6*$O$92)+IF($G$6=4,($O$90)+IF($G10=$G$6+$H$6,$O$91,0),0),0)+IF($H10&lt;&gt;"",($H$6*$O$92)+IF($H$6=4,($O$90)+IF($H10=$G$6+$H$6,$O$91,0),0),0))</f>
        <v>11</v>
      </c>
      <c r="H11" s="226"/>
      <c r="I11" s="227">
        <f>(IF($I10&lt;&gt;"",($I$6*$O$92)+IF($I$6=4,($O$90)+IF($I10=$I$6+$J$6,$O$91,0),0),0)+IF($J10&lt;&gt;"",($J$6*$O$92)+IF($J$6=4,($O$90)+IF($J10=$I$6+$J$6,$O$91,0),0),0))</f>
        <v>11</v>
      </c>
      <c r="J11" s="228"/>
      <c r="K11" s="229">
        <f>(IF($K10&lt;&gt;"",($K$6*$O$92)+IF($K$6=4,($O$90)+IF($K10=$K$6+$L$6,$O$91,0),0),0)+IF($L10&lt;&gt;"",($L$6*$O$92)+IF($L$6=4,($O$90)+IF($L10=$K$6+$L$6,$O$91,0),0),0))</f>
        <v>9</v>
      </c>
      <c r="L11" s="226"/>
      <c r="M11" s="224">
        <f>(IF($M10&lt;&gt;"",($M$6*$O$92)+IF($M$6=4,($O$90)+IF($M10=$M$6+$N$6,$O$91,0),0),0)+IF($N10&lt;&gt;"",($N$6*$O$92)+IF($N$6=4,($O$90)+IF($N10=$M$6+$N$6,$O$91,0),0),0))</f>
        <v>9</v>
      </c>
      <c r="N11" s="226"/>
      <c r="O11" s="227">
        <f>(IF($O10&lt;&gt;"",($O$6*$O$92)+IF($O$6=4,($O$90)+IF($O10=$O$6+$P$6,$O$91,0),0),0)+IF($P10&lt;&gt;"",($P$6*$O$92)+IF($P$6=4,($O$90)+IF($P10=$O$6+$P$6,$O$91,0),0),0))</f>
        <v>0</v>
      </c>
      <c r="P11" s="226"/>
      <c r="Q11" s="227">
        <f>(IF($Q10&lt;&gt;"",($Q$6*$O$92)+IF($Q$6=4,($O$90)+IF($Q10=$Q$6+$R$6,$O$91,0),0),0)+IF($R10&lt;&gt;"",($R$6*$O$92)+IF($R$6=4,($O$90)+IF($R10=$Q$6+$R$6,$O$91,0),0),0))</f>
        <v>9</v>
      </c>
      <c r="R11" s="230"/>
      <c r="S11" s="205"/>
      <c r="T11" s="231">
        <f>(IF($T10&lt;&gt;"",($T$6*$P$92)+IF($T$6=4,($P$90)+IF($T10=$T$6+$U$6,$P$91,0),0),0)+IF($U10&lt;&gt;"",($U$6*$P$92)+IF($U$6=4,($P$90)+IF($U10=$T$6+$U$6,$P$91,0),0),0))</f>
        <v>14</v>
      </c>
      <c r="U11" s="232"/>
      <c r="V11" s="233">
        <f>(IF($V10&lt;&gt;"",($V$6*$P$92)+IF($V$6=4,($P$90)+IF($V10=$V$6+$W$6,$P$91,0),0),0)+IF($W10&lt;&gt;"",($W$6*$P$92)+IF($W$6=4,($P$90)+IF($W10=$V$6+$W$6,$P$91,0),0),0))</f>
        <v>18</v>
      </c>
      <c r="W11" s="234"/>
      <c r="X11" s="235">
        <f>(IF($X10&lt;&gt;"",($X$6*$P$92)+IF($X$6=4,($P$90)+IF($X10=$X$6+$Y$6,$P$91,0),0),0)+IF($Y10&lt;&gt;"",($Y$6*$P$92)+IF($Y$6=4,($P$90)+IF($Y10=$X$6+$Y$6,$P$91,0),0),0))</f>
        <v>18</v>
      </c>
      <c r="Y11" s="232"/>
      <c r="Z11" s="233">
        <f>(IF($Z10&lt;&gt;"",($Z$6*$P$92)+IF($Z$6=4,($P$90)+IF($Z10=$Z$6+$AA$6,$P$91,0),0),0)+IF($AA10&lt;&gt;"",($AA$6*$P$92)+IF($AA$6=4,($P$90)+IF($AA10=$Z$6+$AA$6,$P$91,0),0),0))</f>
        <v>14</v>
      </c>
      <c r="AA11" s="236"/>
      <c r="AB11" s="205"/>
      <c r="AC11" s="237">
        <f>(IF($AC10&lt;&gt;"",($AC$6*$Q$92)+IF($AC$6=4,($Q$90)+IF($AC10=$AC$6+$AD$6,$Q$91,0),0),0)+IF($AD10&lt;&gt;"",($AD$6*$Q$92)+IF($AD$6=4,($Q$90)+IF($AD10=$AC$6+$AD$6,$Q$91,0),0),0))</f>
        <v>19</v>
      </c>
      <c r="AD11" s="234"/>
      <c r="AE11" s="235">
        <f>(IF($AE10&lt;&gt;"",($AE$6*$Q$92)+IF($AE$6=4,($Q$90)+IF($AE10=$AE$6+$AF$6,$Q$91,0),0),0)+IF($AF10&lt;&gt;"",($AF$6*$Q$92)+IF($AF$6=4,($Q$90)+IF($AF10=$AE$6+$AF$6,$Q$91,0),0),0))</f>
        <v>1</v>
      </c>
      <c r="AF11" s="237"/>
      <c r="AG11" s="205"/>
      <c r="AH11" s="231">
        <f>(IF($AH10&lt;&gt;"",($AH$6*$R$92)+IF($AH$6=4,($R$90)+IF($AH10=$AH$6+$AI$6,$R$91,0),0),0)+IF($AI10&lt;&gt;"",($AI$6*$R$92)+IF($AI$6=4,($R$90)+IF($AI10=$AH$6+$AI$6,$R$91,0),0),0))</f>
        <v>24</v>
      </c>
      <c r="AI11" s="236"/>
      <c r="AJ11" s="205"/>
      <c r="AK11" s="133"/>
      <c r="AL11" s="205"/>
    </row>
    <row r="12" spans="1:38" s="27" customFormat="1" hidden="1" x14ac:dyDescent="0.2">
      <c r="A12" s="108"/>
      <c r="B12" s="220" t="s">
        <v>78</v>
      </c>
      <c r="C12" s="154">
        <f>IF(ISBLANK(C10),
0,
IF(C$6= 4, 1, 0))</f>
        <v>0</v>
      </c>
      <c r="D12" s="154">
        <f>IF(ISBLANK(D10),
0,
IF(D$6 = 4, 1, 0))</f>
        <v>0</v>
      </c>
      <c r="E12" s="154">
        <f>IF(ISBLANK(E10),
0,
IF(E$6= 4, 1, 0))</f>
        <v>1</v>
      </c>
      <c r="F12" s="154">
        <f>IF(ISBLANK(F10),
0,
IF(F$6 = 4, 1, 0))</f>
        <v>0</v>
      </c>
      <c r="G12" s="154">
        <f>IF(ISBLANK(G10),
0,
IF(G$6= 4, 1, 0))</f>
        <v>1</v>
      </c>
      <c r="H12" s="154">
        <f>IF(ISBLANK(H10),
0,
IF(H$6 = 4, 1, 0))</f>
        <v>0</v>
      </c>
      <c r="I12" s="154">
        <f>IF(ISBLANK(I10),
0,
IF(I$6= 4, 1, 0))</f>
        <v>1</v>
      </c>
      <c r="J12" s="154">
        <f>IF(ISBLANK(J10),
0,
IF(J$6 = 4, 1, 0))</f>
        <v>0</v>
      </c>
      <c r="K12" s="154">
        <f>IF(ISBLANK(K10),
0,
IF(K$6= 4, 1, 0))</f>
        <v>1</v>
      </c>
      <c r="L12" s="154">
        <f>IF(ISBLANK(L10),
0,
IF(L$6 = 4, 1, 0))</f>
        <v>0</v>
      </c>
      <c r="M12" s="154">
        <f>IF(ISBLANK(M10),
0,
IF(M$6= 4, 1, 0))</f>
        <v>1</v>
      </c>
      <c r="N12" s="154">
        <f>IF(ISBLANK(N10),
0,
IF(N$6 = 4, 1, 0))</f>
        <v>0</v>
      </c>
      <c r="O12" s="154">
        <f>IF(ISBLANK(O10),
0,
IF(O$6= 4, 1, 0))</f>
        <v>0</v>
      </c>
      <c r="P12" s="154">
        <f>IF(ISBLANK(P10),
0,
IF(P$6 = 4, 1, 0))</f>
        <v>0</v>
      </c>
      <c r="Q12" s="154">
        <f>IF(ISBLANK(Q10),
0,
IF(Q$6= 4, 1, 0))</f>
        <v>0</v>
      </c>
      <c r="R12" s="154">
        <f>IF(ISBLANK(R10),
0,
IF(R$6 = 4, 1, 0))</f>
        <v>1</v>
      </c>
      <c r="S12" s="239"/>
      <c r="T12" s="154">
        <f>IF(ISBLANK(T10),
0,
IF(T$6= 4, 1, 0))</f>
        <v>1</v>
      </c>
      <c r="U12" s="154">
        <f>IF(ISBLANK(U10),
0,
IF(U$6 = 4, 1, 0))</f>
        <v>0</v>
      </c>
      <c r="V12" s="154">
        <f>IF(ISBLANK(V10),
0,
IF(V$6= 4, 1, 0))</f>
        <v>1</v>
      </c>
      <c r="W12" s="154">
        <f>IF(ISBLANK(W10),
0,
IF(W$6 = 4, 1, 0))</f>
        <v>0</v>
      </c>
      <c r="X12" s="154">
        <f>IF(ISBLANK(X10),
0,
IF(X$6= 4, 1, 0))</f>
        <v>0</v>
      </c>
      <c r="Y12" s="154">
        <f>IF(ISBLANK(Y10),
0,
IF(Y$6 = 4, 1, 0))</f>
        <v>1</v>
      </c>
      <c r="Z12" s="154">
        <f>IF(ISBLANK(Z10),
0,
IF(Z$6= 4, 1, 0))</f>
        <v>1</v>
      </c>
      <c r="AA12" s="154">
        <f>IF(ISBLANK(AA10),
0,
IF(AA$6 = 4, 1, 0))</f>
        <v>0</v>
      </c>
      <c r="AB12" s="239"/>
      <c r="AC12" s="154">
        <f>IF(ISBLANK(AC10),
0,
IF(AC$6= 4, 1, 0))</f>
        <v>0</v>
      </c>
      <c r="AD12" s="154">
        <f>IF(ISBLANK(AD10),
0,
IF(AD$6 = 4, 1, 0))</f>
        <v>1</v>
      </c>
      <c r="AE12" s="154">
        <f>IF(ISBLANK(AE10),
0,
IF(AE$6= 4, 1, 0))</f>
        <v>0</v>
      </c>
      <c r="AF12" s="154">
        <f>IF(ISBLANK(AF10),
0,
IF(AF$6 = 4, 1, 0))</f>
        <v>0</v>
      </c>
      <c r="AG12" s="239"/>
      <c r="AH12" s="154">
        <f>IF(ISBLANK(AH10),
0,
IF(AH$6= 4, 1, 0))</f>
        <v>1</v>
      </c>
      <c r="AI12" s="154">
        <f>IF(ISBLANK(AI10),
0,
IF(AI$6 = 4, 1, 0))</f>
        <v>0</v>
      </c>
      <c r="AJ12" s="239"/>
      <c r="AK12" s="240">
        <f>SUM(C12:AI12)</f>
        <v>12</v>
      </c>
      <c r="AL12" s="207"/>
    </row>
    <row r="13" spans="1:38" s="27" customFormat="1" hidden="1" x14ac:dyDescent="0.2">
      <c r="A13" s="108"/>
      <c r="B13" s="220" t="s">
        <v>79</v>
      </c>
      <c r="C13" s="154">
        <f>IF(C12 = 0,
0,
IF(C10 = (C$6+D$6),1,0))</f>
        <v>0</v>
      </c>
      <c r="D13" s="154">
        <f>IF(D12 = 0,
0,
IF(D10 = (C$6+D$6),1,0))</f>
        <v>0</v>
      </c>
      <c r="E13" s="154">
        <f>IF(E12 = 0,
0,
IF(E10 = (E$6+F$6),1,0))</f>
        <v>1</v>
      </c>
      <c r="F13" s="154">
        <f>IF(F12 = 0,
0,
IF(F10 = (E$6+F$6),1,0))</f>
        <v>0</v>
      </c>
      <c r="G13" s="154">
        <f>IF(G12 = 0,
0,
IF(G10 = (G$6+H$6),1,0))</f>
        <v>1</v>
      </c>
      <c r="H13" s="154">
        <f>IF(H12 = 0,
0,
IF(H10 = (G$6+H$6),1,0))</f>
        <v>0</v>
      </c>
      <c r="I13" s="154">
        <f>IF(I12 = 0,
0,
IF(I10 = (I$6+J$6),1,0))</f>
        <v>1</v>
      </c>
      <c r="J13" s="154">
        <f>IF(J12 = 0,
0,
IF(J10 = (I$6+J$6),1,0))</f>
        <v>0</v>
      </c>
      <c r="K13" s="154">
        <f>IF(K12 = 0,
0,
IF(K10 = (K$6+L$6),1,0))</f>
        <v>0</v>
      </c>
      <c r="L13" s="154">
        <f>IF(L12 = 0,
0,
IF(L10 = (K$6+L$6),1,0))</f>
        <v>0</v>
      </c>
      <c r="M13" s="154">
        <f>IF(M12 = 0,
0,
IF(M10 = (M$6+N$6),1,0))</f>
        <v>0</v>
      </c>
      <c r="N13" s="154">
        <f>IF(N12 = 0,
0,
IF(N10 = (M$6+N$6),1,0))</f>
        <v>0</v>
      </c>
      <c r="O13" s="154">
        <f>IF(O12 = 0,
0,
IF(O10 = (O$6+P$6),1,0))</f>
        <v>0</v>
      </c>
      <c r="P13" s="154">
        <f>IF(P12 = 0,
0,
IF(P10 = (O$6+P$6),1,0))</f>
        <v>0</v>
      </c>
      <c r="Q13" s="154">
        <f>IF(Q12 = 0,
0,
IF(Q10 = (Q$6+R$6),1,0))</f>
        <v>0</v>
      </c>
      <c r="R13" s="154">
        <f>IF(R12 = 0,
0,
IF(R10 = (Q$6+R$6),1,0))</f>
        <v>0</v>
      </c>
      <c r="S13" s="239"/>
      <c r="T13" s="154">
        <f>IF(T12 = 0,
0,
IF(T10 = (T$6+U$6),1,0))</f>
        <v>0</v>
      </c>
      <c r="U13" s="154">
        <f>IF(U12 = 0,
0,
IF(U10 = (T$6+U$6),1,0))</f>
        <v>0</v>
      </c>
      <c r="V13" s="154">
        <f>IF(V12 = 0,
0,
IF(V10 = (V$6+W$6),1,0))</f>
        <v>1</v>
      </c>
      <c r="W13" s="154">
        <f>IF(W12 = 0,
0,
IF(W10 = (V$6+W$6),1,0))</f>
        <v>0</v>
      </c>
      <c r="X13" s="154">
        <f>IF(X12 = 0,
0,
IF(X10 = (X$6+Y$6),1,0))</f>
        <v>0</v>
      </c>
      <c r="Y13" s="154">
        <f>IF(Y12 = 0,
0,
IF(Y10 = (X$6+Y$6),1,0))</f>
        <v>1</v>
      </c>
      <c r="Z13" s="154">
        <f>IF(Z12 = 0,
0,
IF(Z10 = (Z$6+AA$6),1,0))</f>
        <v>0</v>
      </c>
      <c r="AA13" s="154">
        <f>IF(AA12 = 0,
0,
IF(AA10 = (Z$6+AA$6),1,0))</f>
        <v>0</v>
      </c>
      <c r="AB13" s="239"/>
      <c r="AC13" s="154">
        <f>IF(AC12 = 0,
0,
IF(AC10 = (AC$6+AD$6),1,0))</f>
        <v>0</v>
      </c>
      <c r="AD13" s="154">
        <f>IF(AD12 = 0,
0,
IF(AD10 = (AC$6+AD$6),1,0))</f>
        <v>0</v>
      </c>
      <c r="AE13" s="154">
        <f>IF(AE12 = 0,
0,
IF(AE10 = (AE$6+AF$6),1,0))</f>
        <v>0</v>
      </c>
      <c r="AF13" s="154">
        <f>IF(AF12 = 0,
0,
IF(AF10 = (AE$6+AF$6),1,0))</f>
        <v>0</v>
      </c>
      <c r="AG13" s="239"/>
      <c r="AH13" s="154">
        <f>IF(AH12 = 0,
0,
IF(AH10 = (AH$6+AI$6),1,0))</f>
        <v>0</v>
      </c>
      <c r="AI13" s="154">
        <f>IF(AI12 = 0,
0,
IF(AI10 = (AH$6+AI$6),1,0))</f>
        <v>0</v>
      </c>
      <c r="AJ13" s="239"/>
      <c r="AK13" s="240">
        <f>SUM(C13:AI13)</f>
        <v>5</v>
      </c>
      <c r="AL13" s="207"/>
    </row>
    <row r="14" spans="1:38" ht="12.75" customHeight="1" x14ac:dyDescent="0.2">
      <c r="A14" s="149">
        <f>RANK(AL14,$AL$10:$AL$82,)</f>
        <v>2</v>
      </c>
      <c r="B14" s="93" t="s">
        <v>70</v>
      </c>
      <c r="C14" s="47"/>
      <c r="D14" s="46">
        <v>7</v>
      </c>
      <c r="E14" s="45"/>
      <c r="F14" s="46">
        <v>7</v>
      </c>
      <c r="G14" s="49">
        <v>7</v>
      </c>
      <c r="H14" s="48"/>
      <c r="I14" s="45">
        <v>7</v>
      </c>
      <c r="J14" s="48"/>
      <c r="K14" s="50">
        <v>7</v>
      </c>
      <c r="L14" s="48"/>
      <c r="M14" s="45">
        <v>7</v>
      </c>
      <c r="N14" s="46"/>
      <c r="O14" s="45">
        <v>7</v>
      </c>
      <c r="P14" s="46"/>
      <c r="Q14" s="49"/>
      <c r="R14" s="51">
        <v>7</v>
      </c>
      <c r="S14" s="206">
        <f>SUM(C15:R15)</f>
        <v>58</v>
      </c>
      <c r="T14" s="47"/>
      <c r="U14" s="48">
        <v>7</v>
      </c>
      <c r="V14" s="45">
        <v>7</v>
      </c>
      <c r="W14" s="48"/>
      <c r="X14" s="50"/>
      <c r="Y14" s="161">
        <v>7</v>
      </c>
      <c r="Z14" s="49">
        <v>7</v>
      </c>
      <c r="AA14" s="51"/>
      <c r="AB14" s="206">
        <f>SUM(T15:AA15)</f>
        <v>47</v>
      </c>
      <c r="AC14" s="49"/>
      <c r="AD14" s="48">
        <v>6</v>
      </c>
      <c r="AE14" s="50"/>
      <c r="AF14" s="48">
        <v>6</v>
      </c>
      <c r="AG14" s="206">
        <f>SUM(AC15:AF15)</f>
        <v>38</v>
      </c>
      <c r="AH14" s="82">
        <v>6</v>
      </c>
      <c r="AI14" s="59"/>
      <c r="AJ14" s="206">
        <f>AH15</f>
        <v>24</v>
      </c>
      <c r="AK14" s="134">
        <f>MAX($AL$10:$AL$82) - AL14</f>
        <v>2</v>
      </c>
      <c r="AL14" s="210">
        <f>$S14+$AB14+$AG14+$AJ14</f>
        <v>167</v>
      </c>
    </row>
    <row r="15" spans="1:38" s="27" customFormat="1" ht="12.75" hidden="1" customHeight="1" x14ac:dyDescent="0.2">
      <c r="A15" s="149" t="e">
        <f>RANK(AL15,$AL$10:$AL$82,)</f>
        <v>#N/A</v>
      </c>
      <c r="B15" s="107"/>
      <c r="C15" s="154">
        <f>(IF($C14&lt;&gt;"",($C$6*$O$92)+IF($C$6=4,($O$90)+IF($C14=$C$6+$D$6,$O$91,0),0),0)+IF($D14&lt;&gt;"",($D$6*$O$92)+IF($D$6=4,($O$90)+IF($D14=$C$6+$D$6,$O$91,0),0),0))</f>
        <v>1</v>
      </c>
      <c r="D15" s="242"/>
      <c r="E15" s="224">
        <f>(IF($E14&lt;&gt;"",($E$6*$O$92)+IF($E$6=4,($O$90)+IF($E14=$E$6+$F$6,$O$91,0),0),0)+IF($F14&lt;&gt;"",($F$6*$O$92)+IF($F$6=4,($O$90)+IF($F14=$E$6+$F$6,$O$91,0),0),0))</f>
        <v>3</v>
      </c>
      <c r="F15" s="242"/>
      <c r="G15" s="224">
        <f>(IF($G14&lt;&gt;"",($G$6*$O$92)+IF($G$6=4,($O$90)+IF($G14=$G$6+$H$6,$O$91,0),0),0)+IF($H14&lt;&gt;"",($H$6*$O$92)+IF($H$6=4,($O$90)+IF($H14=$G$6+$H$6,$O$91,0),0),0))</f>
        <v>9</v>
      </c>
      <c r="H15" s="242"/>
      <c r="I15" s="157">
        <f>(IF($I14&lt;&gt;"",($I$6*$O$92)+IF($I$6=4,($O$90)+IF($I14=$I$6+$J$6,$O$91,0),0),0)+IF($J14&lt;&gt;"",($J$6*$O$92)+IF($J$6=4,($O$90)+IF($J14=$I$6+$J$6,$O$91,0),0),0))</f>
        <v>9</v>
      </c>
      <c r="J15" s="243"/>
      <c r="K15" s="244">
        <f>(IF($K14&lt;&gt;"",($K$6*$O$92)+IF($K$6=4,($O$90)+IF($K14=$K$6+$L$6,$O$91,0),0),0)+IF($L14&lt;&gt;"",($L$6*$O$92)+IF($L$6=4,($O$90)+IF($L14=$K$6+$L$6,$O$91,0),0),0))</f>
        <v>9</v>
      </c>
      <c r="L15" s="242"/>
      <c r="M15" s="224">
        <f>(IF($M14&lt;&gt;"",($M$6*$O$92)+IF($M$6=4,($O$90)+IF($M14=$M$6+$N$6,$O$91,0),0),0)+IF($N14&lt;&gt;"",($N$6*$O$92)+IF($N$6=4,($O$90)+IF($N14=$M$6+$N$6,$O$91,0),0),0))</f>
        <v>9</v>
      </c>
      <c r="N15" s="242"/>
      <c r="O15" s="157">
        <f>(IF($O14&lt;&gt;"",($O$6*$O$92)+IF($O$6=4,($O$90)+IF($O14=$O$6+$P$6,$O$91,0),0),0)+IF($P14&lt;&gt;"",($P$6*$O$92)+IF($P$6=4,($O$90)+IF($P14=$O$6+$P$6,$O$91,0),0),0))</f>
        <v>9</v>
      </c>
      <c r="P15" s="242"/>
      <c r="Q15" s="157">
        <f>(IF($Q14&lt;&gt;"",($Q$6*$O$92)+IF($Q$6=4,($O$90)+IF($Q14=$Q$6+$R$6,$O$91,0),0),0)+IF($R14&lt;&gt;"",($R$6*$O$92)+IF($R$6=4,($O$90)+IF($R14=$Q$6+$R$6,$O$91,0),0),0))</f>
        <v>9</v>
      </c>
      <c r="R15" s="245"/>
      <c r="S15" s="246"/>
      <c r="T15" s="247">
        <f>(IF($T14&lt;&gt;"",($T$6*$P$92)+IF($T$6=4,($P$90)+IF($T14=$T$6+$U$6,$P$91,0),0),0)+IF($U14&lt;&gt;"",($U$6*$P$92)+IF($U$6=4,($P$90)+IF($U14=$T$6+$U$6,$P$91,0),0),0))</f>
        <v>1</v>
      </c>
      <c r="U15" s="248"/>
      <c r="V15" s="249">
        <f>(IF($V14&lt;&gt;"",($V$6*$P$92)+IF($V$6=4,($P$90)+IF($V14=$V$6+$W$6,$P$91,0),0),0)+IF($W14&lt;&gt;"",($W$6*$P$92)+IF($W$6=4,($P$90)+IF($W14=$V$6+$W$6,$P$91,0),0),0))</f>
        <v>14</v>
      </c>
      <c r="W15" s="250"/>
      <c r="X15" s="251">
        <f>(IF($X14&lt;&gt;"",($X$6*$P$92)+IF($X$6=4,($P$90)+IF($X14=$X$6+$Y$6,$P$91,0),0),0)+IF($Y14&lt;&gt;"",($Y$6*$P$92)+IF($Y$6=4,($P$90)+IF($Y14=$X$6+$Y$6,$P$91,0),0),0))</f>
        <v>18</v>
      </c>
      <c r="Y15" s="241"/>
      <c r="Z15" s="249">
        <f>(IF($Z14&lt;&gt;"",($Z$6*$P$92)+IF($Z$6=4,($P$90)+IF($Z14=$Z$6+$AA$6,$P$91,0),0),0)+IF($AA14&lt;&gt;"",($AA$6*$P$92)+IF($AA$6=4,($P$90)+IF($AA14=$Z$6+$AA$6,$P$91,0),0),0))</f>
        <v>14</v>
      </c>
      <c r="AA15" s="252"/>
      <c r="AB15" s="246"/>
      <c r="AC15" s="253">
        <f>(IF($AC14&lt;&gt;"",($AC$6*$Q$92)+IF($AC$6=4,($Q$90)+IF($AC14=$AC$6+$AD$6,$Q$91,0),0),0)+IF($AD14&lt;&gt;"",($AD$6*$Q$92)+IF($AD$6=4,($Q$90)+IF($AD14=$AC$6+$AD$6,$Q$91,0),0),0))</f>
        <v>19</v>
      </c>
      <c r="AD15" s="250"/>
      <c r="AE15" s="251">
        <f>(IF($AE14&lt;&gt;"",($AE$6*$Q$92)+IF($AE$6=4,($Q$90)+IF($AE14=$AE$6+$AF$6,$Q$91,0),0),0)+IF($AF14&lt;&gt;"",($AF$6*$Q$92)+IF($AF$6=4,($Q$90)+IF($AF14=$AE$6+$AF$6,$Q$91,0),0),0))</f>
        <v>19</v>
      </c>
      <c r="AF15" s="253"/>
      <c r="AG15" s="246"/>
      <c r="AH15" s="247">
        <f>(IF($AH14&lt;&gt;"",($AH$6*$R$92)+IF($AH$6=4,($R$90)+IF($AH14=$AH$6+$AI$6,$R$91,0),0),0)+IF($AI14&lt;&gt;"",($AI$6*$R$92)+IF($AI$6=4,($R$90)+IF($AI14=$AH$6+$AI$6,$R$91,0),0),0))</f>
        <v>24</v>
      </c>
      <c r="AI15" s="252"/>
      <c r="AJ15" s="205"/>
      <c r="AK15" s="101">
        <f>MAX($AL$10:$AL$82) - AL15</f>
        <v>169</v>
      </c>
      <c r="AL15" s="205"/>
    </row>
    <row r="16" spans="1:38" s="27" customFormat="1" ht="12.75" hidden="1" customHeight="1" x14ac:dyDescent="0.2">
      <c r="A16" s="108"/>
      <c r="B16" s="220" t="s">
        <v>78</v>
      </c>
      <c r="C16" s="154">
        <f>IF(ISBLANK(C14),
0,
IF(C$6= 4, 1, 0))</f>
        <v>0</v>
      </c>
      <c r="D16" s="154">
        <f>IF(ISBLANK(D14),
0,
IF(D$6 = 4, 1, 0))</f>
        <v>0</v>
      </c>
      <c r="E16" s="154">
        <f>IF(ISBLANK(E14),
0,
IF(E$6= 4, 1, 0))</f>
        <v>0</v>
      </c>
      <c r="F16" s="154">
        <f>IF(ISBLANK(F14),
0,
IF(F$6 = 4, 1, 0))</f>
        <v>0</v>
      </c>
      <c r="G16" s="154">
        <f>IF(ISBLANK(G14),
0,
IF(G$6= 4, 1, 0))</f>
        <v>1</v>
      </c>
      <c r="H16" s="154">
        <f>IF(ISBLANK(H14),
0,
IF(H$6 = 4, 1, 0))</f>
        <v>0</v>
      </c>
      <c r="I16" s="154">
        <f>IF(ISBLANK(I14),
0,
IF(I$6= 4, 1, 0))</f>
        <v>1</v>
      </c>
      <c r="J16" s="154">
        <f>IF(ISBLANK(J14),
0,
IF(J$6 = 4, 1, 0))</f>
        <v>0</v>
      </c>
      <c r="K16" s="154">
        <f>IF(ISBLANK(K14),
0,
IF(K$6= 4, 1, 0))</f>
        <v>1</v>
      </c>
      <c r="L16" s="154">
        <f>IF(ISBLANK(L14),
0,
IF(L$6 = 4, 1, 0))</f>
        <v>0</v>
      </c>
      <c r="M16" s="154">
        <f>IF(ISBLANK(M14),
0,
IF(M$6= 4, 1, 0))</f>
        <v>1</v>
      </c>
      <c r="N16" s="154">
        <f>IF(ISBLANK(N14),
0,
IF(N$6 = 4, 1, 0))</f>
        <v>0</v>
      </c>
      <c r="O16" s="154">
        <f>IF(ISBLANK(O14),
0,
IF(O$6= 4, 1, 0))</f>
        <v>1</v>
      </c>
      <c r="P16" s="154">
        <f>IF(ISBLANK(P14),
0,
IF(P$6 = 4, 1, 0))</f>
        <v>0</v>
      </c>
      <c r="Q16" s="154">
        <f>IF(ISBLANK(Q14),
0,
IF(Q$6= 4, 1, 0))</f>
        <v>0</v>
      </c>
      <c r="R16" s="154">
        <f>IF(ISBLANK(R14),
0,
IF(R$6 = 4, 1, 0))</f>
        <v>1</v>
      </c>
      <c r="S16" s="239"/>
      <c r="T16" s="154">
        <f>IF(ISBLANK(T14),
0,
IF(T$6= 4, 1, 0))</f>
        <v>0</v>
      </c>
      <c r="U16" s="154">
        <f>IF(ISBLANK(U14),
0,
IF(U$6 = 4, 1, 0))</f>
        <v>0</v>
      </c>
      <c r="V16" s="154">
        <f>IF(ISBLANK(V14),
0,
IF(V$6= 4, 1, 0))</f>
        <v>1</v>
      </c>
      <c r="W16" s="154">
        <f>IF(ISBLANK(W14),
0,
IF(W$6 = 4, 1, 0))</f>
        <v>0</v>
      </c>
      <c r="X16" s="154">
        <f>IF(ISBLANK(X14),
0,
IF(X$6= 4, 1, 0))</f>
        <v>0</v>
      </c>
      <c r="Y16" s="154">
        <f>IF(ISBLANK(Y14),
0,
IF(Y$6 = 4, 1, 0))</f>
        <v>1</v>
      </c>
      <c r="Z16" s="154">
        <f>IF(ISBLANK(Z14),
0,
IF(Z$6= 4, 1, 0))</f>
        <v>1</v>
      </c>
      <c r="AA16" s="154">
        <f>IF(ISBLANK(AA14),
0,
IF(AA$6 = 4, 1, 0))</f>
        <v>0</v>
      </c>
      <c r="AB16" s="239"/>
      <c r="AC16" s="154">
        <f>IF(ISBLANK(AC14),
0,
IF(AC$6= 4, 1, 0))</f>
        <v>0</v>
      </c>
      <c r="AD16" s="154">
        <f>IF(ISBLANK(AD14),
0,
IF(AD$6 = 4, 1, 0))</f>
        <v>1</v>
      </c>
      <c r="AE16" s="154">
        <f>IF(ISBLANK(AE14),
0,
IF(AE$6= 4, 1, 0))</f>
        <v>0</v>
      </c>
      <c r="AF16" s="154">
        <f>IF(ISBLANK(AF14),
0,
IF(AF$6 = 4, 1, 0))</f>
        <v>1</v>
      </c>
      <c r="AG16" s="239"/>
      <c r="AH16" s="154">
        <f>IF(ISBLANK(AH14),
0,
IF(AH$6= 4, 1, 0))</f>
        <v>1</v>
      </c>
      <c r="AI16" s="154">
        <f>IF(ISBLANK(AI14),
0,
IF(AI$6 = 4, 1, 0))</f>
        <v>0</v>
      </c>
      <c r="AJ16" s="239"/>
      <c r="AK16" s="240">
        <f>SUM(C16:AI16)</f>
        <v>12</v>
      </c>
      <c r="AL16" s="207"/>
    </row>
    <row r="17" spans="1:38" s="27" customFormat="1" ht="12.75" hidden="1" customHeight="1" x14ac:dyDescent="0.2">
      <c r="A17" s="108"/>
      <c r="B17" s="220" t="s">
        <v>79</v>
      </c>
      <c r="C17" s="154">
        <f>IF(C16 = 0,
0,
IF(C14 = (C$6+D$6),1,0))</f>
        <v>0</v>
      </c>
      <c r="D17" s="154">
        <f>IF(D16 = 0,
0,
IF(D14 = (C$6+D$6),1,0))</f>
        <v>0</v>
      </c>
      <c r="E17" s="154">
        <f>IF(E16 = 0,
0,
IF(E14 = (E$6+F$6),1,0))</f>
        <v>0</v>
      </c>
      <c r="F17" s="154">
        <f>IF(F16 = 0,
0,
IF(F14 = (E$6+F$6),1,0))</f>
        <v>0</v>
      </c>
      <c r="G17" s="154">
        <f>IF(G16 = 0,
0,
IF(G14 = (G$6+H$6),1,0))</f>
        <v>0</v>
      </c>
      <c r="H17" s="154">
        <f>IF(H16 = 0,
0,
IF(H14 = (G$6+H$6),1,0))</f>
        <v>0</v>
      </c>
      <c r="I17" s="154">
        <f>IF(I16 = 0,
0,
IF(I14 = (I$6+J$6),1,0))</f>
        <v>0</v>
      </c>
      <c r="J17" s="154">
        <f>IF(J16 = 0,
0,
IF(J14 = (I$6+J$6),1,0))</f>
        <v>0</v>
      </c>
      <c r="K17" s="154">
        <f>IF(K16 = 0,
0,
IF(K14 = (K$6+L$6),1,0))</f>
        <v>0</v>
      </c>
      <c r="L17" s="154">
        <f>IF(L16 = 0,
0,
IF(L14 = (K$6+L$6),1,0))</f>
        <v>0</v>
      </c>
      <c r="M17" s="154">
        <f>IF(M16 = 0,
0,
IF(M14 = (M$6+N$6),1,0))</f>
        <v>0</v>
      </c>
      <c r="N17" s="154">
        <f>IF(N16 = 0,
0,
IF(N14 = (M$6+N$6),1,0))</f>
        <v>0</v>
      </c>
      <c r="O17" s="154">
        <f>IF(O16 = 0,
0,
IF(O14 = (O$6+P$6),1,0))</f>
        <v>0</v>
      </c>
      <c r="P17" s="154">
        <f>IF(P16 = 0,
0,
IF(P14 = (O$6+P$6),1,0))</f>
        <v>0</v>
      </c>
      <c r="Q17" s="154">
        <f>IF(Q16 = 0,
0,
IF(Q14 = (Q$6+R$6),1,0))</f>
        <v>0</v>
      </c>
      <c r="R17" s="154">
        <f>IF(R16 = 0,
0,
IF(R14 = (Q$6+R$6),1,0))</f>
        <v>0</v>
      </c>
      <c r="S17" s="239"/>
      <c r="T17" s="154">
        <f>IF(T16 = 0,
0,
IF(T14 = (T$6+U$6),1,0))</f>
        <v>0</v>
      </c>
      <c r="U17" s="154">
        <f>IF(U16 = 0,
0,
IF(U14 = (T$6+U$6),1,0))</f>
        <v>0</v>
      </c>
      <c r="V17" s="154">
        <f>IF(V16 = 0,
0,
IF(V14 = (V$6+W$6),1,0))</f>
        <v>0</v>
      </c>
      <c r="W17" s="154">
        <f>IF(W16 = 0,
0,
IF(W14 = (V$6+W$6),1,0))</f>
        <v>0</v>
      </c>
      <c r="X17" s="154">
        <f>IF(X16 = 0,
0,
IF(X14 = (X$6+Y$6),1,0))</f>
        <v>0</v>
      </c>
      <c r="Y17" s="154">
        <f>IF(Y16 = 0,
0,
IF(Y14 = (X$6+Y$6),1,0))</f>
        <v>1</v>
      </c>
      <c r="Z17" s="154">
        <f>IF(Z16 = 0,
0,
IF(Z14 = (Z$6+AA$6),1,0))</f>
        <v>0</v>
      </c>
      <c r="AA17" s="154">
        <f>IF(AA16 = 0,
0,
IF(AA14 = (Z$6+AA$6),1,0))</f>
        <v>0</v>
      </c>
      <c r="AB17" s="239"/>
      <c r="AC17" s="154">
        <f>IF(AC16 = 0,
0,
IF(AC14 = (AC$6+AD$6),1,0))</f>
        <v>0</v>
      </c>
      <c r="AD17" s="154">
        <f>IF(AD16 = 0,
0,
IF(AD14 = (AC$6+AD$6),1,0))</f>
        <v>0</v>
      </c>
      <c r="AE17" s="154">
        <f>IF(AE16 = 0,
0,
IF(AE14 = (AE$6+AF$6),1,0))</f>
        <v>0</v>
      </c>
      <c r="AF17" s="154">
        <f>IF(AF16 = 0,
0,
IF(AF14 = (AE$6+AF$6),1,0))</f>
        <v>0</v>
      </c>
      <c r="AG17" s="239"/>
      <c r="AH17" s="154">
        <f>IF(AH16 = 0,
0,
IF(AH14 = (AH$6+AI$6),1,0))</f>
        <v>0</v>
      </c>
      <c r="AI17" s="154">
        <f>IF(AI16 = 0,
0,
IF(AI14 = (AH$6+AI$6),1,0))</f>
        <v>0</v>
      </c>
      <c r="AJ17" s="239"/>
      <c r="AK17" s="240">
        <f>SUM(C17:AI17)</f>
        <v>1</v>
      </c>
      <c r="AL17" s="207"/>
    </row>
    <row r="18" spans="1:38" ht="12.75" customHeight="1" x14ac:dyDescent="0.2">
      <c r="A18" s="173">
        <f>RANK(AL18,$AL$10:$AL$82,)</f>
        <v>3</v>
      </c>
      <c r="B18" s="174" t="s">
        <v>68</v>
      </c>
      <c r="C18" s="175">
        <v>5</v>
      </c>
      <c r="D18" s="176"/>
      <c r="E18" s="177">
        <v>7</v>
      </c>
      <c r="F18" s="176"/>
      <c r="G18" s="178">
        <v>6</v>
      </c>
      <c r="H18" s="179"/>
      <c r="I18" s="180">
        <v>7</v>
      </c>
      <c r="J18" s="179"/>
      <c r="K18" s="185">
        <v>4</v>
      </c>
      <c r="L18" s="179"/>
      <c r="M18" s="177">
        <v>5</v>
      </c>
      <c r="N18" s="176"/>
      <c r="O18" s="180">
        <v>7</v>
      </c>
      <c r="P18" s="176"/>
      <c r="Q18" s="182"/>
      <c r="R18" s="183">
        <v>5</v>
      </c>
      <c r="S18" s="209">
        <f>SUM(C19:R19)</f>
        <v>80</v>
      </c>
      <c r="T18" s="184">
        <v>7</v>
      </c>
      <c r="U18" s="179"/>
      <c r="V18" s="180">
        <v>7</v>
      </c>
      <c r="W18" s="179"/>
      <c r="X18" s="185">
        <v>7</v>
      </c>
      <c r="Y18" s="176"/>
      <c r="Z18" s="182">
        <v>7</v>
      </c>
      <c r="AA18" s="183"/>
      <c r="AB18" s="210">
        <f>SUM(T19:AA19)</f>
        <v>45</v>
      </c>
      <c r="AC18" s="182"/>
      <c r="AD18" s="179">
        <v>6</v>
      </c>
      <c r="AE18" s="185"/>
      <c r="AF18" s="179">
        <v>7</v>
      </c>
      <c r="AG18" s="210">
        <f>SUM(AC19:AF19)</f>
        <v>38</v>
      </c>
      <c r="AH18" s="186"/>
      <c r="AI18" s="187">
        <v>6</v>
      </c>
      <c r="AJ18" s="210">
        <f>AH19</f>
        <v>1</v>
      </c>
      <c r="AK18" s="188">
        <f>MAX($AL$10:$AL$82) - AL18</f>
        <v>5</v>
      </c>
      <c r="AL18" s="210">
        <f>$S18+$AB18+$AG18+$AJ18</f>
        <v>164</v>
      </c>
    </row>
    <row r="19" spans="1:38" s="27" customFormat="1" ht="12.75" hidden="1" customHeight="1" x14ac:dyDescent="0.2">
      <c r="A19" s="149" t="e">
        <f>RANK(AL19,$AL$10:$AL$82,)</f>
        <v>#N/A</v>
      </c>
      <c r="B19" s="107"/>
      <c r="C19" s="154">
        <f>(IF($C18&lt;&gt;"",($C$6*$O$92)+IF($C$6=4,($O$90)+IF($C18=$C$6+$D$6,$O$91,0),0),0)+IF($D18&lt;&gt;"",($D$6*$O$92)+IF($D$6=4,($O$90)+IF($D18=$C$6+$D$6,$O$91,0),0),0))</f>
        <v>11</v>
      </c>
      <c r="D19" s="242"/>
      <c r="E19" s="157">
        <f>(IF($E18&lt;&gt;"",($E$6*$O$92)+IF($E$6=4,($O$90)+IF($E18=$E$6+$F$6,$O$91,0),0),0)+IF($F18&lt;&gt;"",($F$6*$O$92)+IF($F$6=4,($O$90)+IF($F18=$E$6+$F$6,$O$91,0),0),0))</f>
        <v>11</v>
      </c>
      <c r="F19" s="242"/>
      <c r="G19" s="157">
        <f>(IF($G18&lt;&gt;"",($G$6*$O$92)+IF($G$6=4,($O$90)+IF($G18=$G$6+$H$6,$O$91,0),0),0)+IF($H18&lt;&gt;"",($H$6*$O$92)+IF($H$6=4,($O$90)+IF($H18=$G$6+$H$6,$O$91,0),0),0))</f>
        <v>11</v>
      </c>
      <c r="H19" s="242"/>
      <c r="I19" s="157">
        <f>(IF($I18&lt;&gt;"",($I$6*$O$92)+IF($I$6=4,($O$90)+IF($I18=$I$6+$J$6,$O$91,0),0),0)+IF($J18&lt;&gt;"",($J$6*$O$92)+IF($J$6=4,($O$90)+IF($J18=$I$6+$J$6,$O$91,0),0),0))</f>
        <v>9</v>
      </c>
      <c r="J19" s="243"/>
      <c r="K19" s="244">
        <f>(IF($K18&lt;&gt;"",($K$6*$O$92)+IF($K$6=4,($O$90)+IF($K18=$K$6+$L$6,$O$91,0),0),0)+IF($L18&lt;&gt;"",($L$6*$O$92)+IF($L$6=4,($O$90)+IF($L18=$K$6+$L$6,$O$91,0),0),0))</f>
        <v>9</v>
      </c>
      <c r="L19" s="242"/>
      <c r="M19" s="157">
        <f>(IF($M18&lt;&gt;"",($M$6*$O$92)+IF($M$6=4,($O$90)+IF($M18=$M$6+$N$6,$O$91,0),0),0)+IF($N18&lt;&gt;"",($N$6*$O$92)+IF($N$6=4,($O$90)+IF($N18=$M$6+$N$6,$O$91,0),0),0))</f>
        <v>11</v>
      </c>
      <c r="N19" s="242"/>
      <c r="O19" s="157">
        <f>(IF($O18&lt;&gt;"",($O$6*$O$92)+IF($O$6=4,($O$90)+IF($O18=$O$6+$P$6,$O$91,0),0),0)+IF($P18&lt;&gt;"",($P$6*$O$92)+IF($P$6=4,($O$90)+IF($P18=$O$6+$P$6,$O$91,0),0),0))</f>
        <v>9</v>
      </c>
      <c r="P19" s="242"/>
      <c r="Q19" s="157">
        <f>(IF($Q18&lt;&gt;"",($Q$6*$O$92)+IF($Q$6=4,($O$90)+IF($Q18=$Q$6+$R$6,$O$91,0),0),0)+IF($R18&lt;&gt;"",($R$6*$O$92)+IF($R$6=4,($O$90)+IF($R18=$Q$6+$R$6,$O$91,0),0),0))</f>
        <v>9</v>
      </c>
      <c r="R19" s="245"/>
      <c r="S19" s="246"/>
      <c r="T19" s="247">
        <f>(IF($T18&lt;&gt;"",($T$6*$P$92)+IF($T$6=4,($P$90)+IF($T18=$T$6+$U$6,$P$91,0),0),0)+IF($U18&lt;&gt;"",($U$6*$P$92)+IF($U$6=4,($P$90)+IF($U18=$T$6+$U$6,$P$91,0),0),0))</f>
        <v>14</v>
      </c>
      <c r="U19" s="248"/>
      <c r="V19" s="249">
        <f>(IF($V18&lt;&gt;"",($V$6*$P$92)+IF($V$6=4,($P$90)+IF($V18=$V$6+$W$6,$P$91,0),0),0)+IF($W18&lt;&gt;"",($W$6*$P$92)+IF($W$6=4,($P$90)+IF($W18=$V$6+$W$6,$P$91,0),0),0))</f>
        <v>14</v>
      </c>
      <c r="W19" s="250"/>
      <c r="X19" s="251">
        <f>(IF($X18&lt;&gt;"",($X$6*$P$92)+IF($X$6=4,($P$90)+IF($X18=$X$6+$Y$6,$P$91,0),0),0)+IF($Y18&lt;&gt;"",($Y$6*$P$92)+IF($Y$6=4,($P$90)+IF($Y18=$X$6+$Y$6,$P$91,0),0),0))</f>
        <v>3</v>
      </c>
      <c r="Y19" s="248"/>
      <c r="Z19" s="249">
        <f>(IF($Z18&lt;&gt;"",($Z$6*$P$92)+IF($Z$6=4,($P$90)+IF($Z18=$Z$6+$AA$6,$P$91,0),0),0)+IF($AA18&lt;&gt;"",($AA$6*$P$92)+IF($AA$6=4,($P$90)+IF($AA18=$Z$6+$AA$6,$P$91,0),0),0))</f>
        <v>14</v>
      </c>
      <c r="AA19" s="252"/>
      <c r="AB19" s="246"/>
      <c r="AC19" s="253">
        <f>(IF($AC18&lt;&gt;"",($AC$6*$Q$92)+IF($AC$6=4,($Q$90)+IF($AC18=$AC$6+$AD$6,$Q$91,0),0),0)+IF($AD18&lt;&gt;"",($AD$6*$Q$92)+IF($AD$6=4,($Q$90)+IF($AD18=$AC$6+$AD$6,$Q$91,0),0),0))</f>
        <v>19</v>
      </c>
      <c r="AD19" s="250"/>
      <c r="AE19" s="251">
        <f>(IF($AE18&lt;&gt;"",($AE$6*$Q$92)+IF($AE$6=4,($Q$90)+IF($AE18=$AE$6+$AF$6,$Q$91,0),0),0)+IF($AF18&lt;&gt;"",($AF$6*$Q$92)+IF($AF$6=4,($Q$90)+IF($AF18=$AE$6+$AF$6,$Q$91,0),0),0))</f>
        <v>19</v>
      </c>
      <c r="AF19" s="253"/>
      <c r="AG19" s="246"/>
      <c r="AH19" s="247">
        <f>(IF($AH18&lt;&gt;"",($AH$6*$R$92)+IF($AH$6=4,($R$90)+IF($AH18=$AH$6+$AI$6,$R$91,0),0),0)+IF($AI18&lt;&gt;"",($AI$6*$R$92)+IF($AI$6=4,($R$90)+IF($AI18=$AH$6+$AI$6,$R$91,0),0),0))</f>
        <v>1</v>
      </c>
      <c r="AI19" s="252"/>
      <c r="AJ19" s="246"/>
      <c r="AK19" s="254">
        <f>MAX($AL$10:$AL$82) - AL19</f>
        <v>169</v>
      </c>
      <c r="AL19" s="205"/>
    </row>
    <row r="20" spans="1:38" s="27" customFormat="1" ht="12.75" hidden="1" customHeight="1" x14ac:dyDescent="0.2">
      <c r="A20" s="149"/>
      <c r="B20" s="220" t="s">
        <v>78</v>
      </c>
      <c r="C20" s="154">
        <f>IF(ISBLANK(C18),
0,
IF(C$6= 4, 1, 0))</f>
        <v>1</v>
      </c>
      <c r="D20" s="154">
        <f>IF(ISBLANK(D18),
0,
IF(D$6 = 4, 1, 0))</f>
        <v>0</v>
      </c>
      <c r="E20" s="154">
        <f>IF(ISBLANK(E18),
0,
IF(E$6= 4, 1, 0))</f>
        <v>1</v>
      </c>
      <c r="F20" s="154">
        <f>IF(ISBLANK(F18),
0,
IF(F$6 = 4, 1, 0))</f>
        <v>0</v>
      </c>
      <c r="G20" s="154">
        <f>IF(ISBLANK(G18),
0,
IF(G$6= 4, 1, 0))</f>
        <v>1</v>
      </c>
      <c r="H20" s="154">
        <f>IF(ISBLANK(H18),
0,
IF(H$6 = 4, 1, 0))</f>
        <v>0</v>
      </c>
      <c r="I20" s="154">
        <f>IF(ISBLANK(I18),
0,
IF(I$6= 4, 1, 0))</f>
        <v>1</v>
      </c>
      <c r="J20" s="154">
        <f>IF(ISBLANK(J18),
0,
IF(J$6 = 4, 1, 0))</f>
        <v>0</v>
      </c>
      <c r="K20" s="154">
        <f>IF(ISBLANK(K18),
0,
IF(K$6= 4, 1, 0))</f>
        <v>1</v>
      </c>
      <c r="L20" s="154">
        <f>IF(ISBLANK(L18),
0,
IF(L$6 = 4, 1, 0))</f>
        <v>0</v>
      </c>
      <c r="M20" s="154">
        <f>IF(ISBLANK(M18),
0,
IF(M$6= 4, 1, 0))</f>
        <v>1</v>
      </c>
      <c r="N20" s="154">
        <f>IF(ISBLANK(N18),
0,
IF(N$6 = 4, 1, 0))</f>
        <v>0</v>
      </c>
      <c r="O20" s="154">
        <f>IF(ISBLANK(O18),
0,
IF(O$6= 4, 1, 0))</f>
        <v>1</v>
      </c>
      <c r="P20" s="154">
        <f>IF(ISBLANK(P18),
0,
IF(P$6 = 4, 1, 0))</f>
        <v>0</v>
      </c>
      <c r="Q20" s="154">
        <f>IF(ISBLANK(Q18),
0,
IF(Q$6= 4, 1, 0))</f>
        <v>0</v>
      </c>
      <c r="R20" s="154">
        <f>IF(ISBLANK(R18),
0,
IF(R$6 = 4, 1, 0))</f>
        <v>1</v>
      </c>
      <c r="S20" s="239"/>
      <c r="T20" s="154">
        <f>IF(ISBLANK(T18),
0,
IF(T$6= 4, 1, 0))</f>
        <v>1</v>
      </c>
      <c r="U20" s="154">
        <f>IF(ISBLANK(U18),
0,
IF(U$6 = 4, 1, 0))</f>
        <v>0</v>
      </c>
      <c r="V20" s="154">
        <f>IF(ISBLANK(V18),
0,
IF(V$6= 4, 1, 0))</f>
        <v>1</v>
      </c>
      <c r="W20" s="154">
        <f>IF(ISBLANK(W18),
0,
IF(W$6 = 4, 1, 0))</f>
        <v>0</v>
      </c>
      <c r="X20" s="154">
        <f>IF(ISBLANK(X18),
0,
IF(X$6= 4, 1, 0))</f>
        <v>0</v>
      </c>
      <c r="Y20" s="154">
        <f>IF(ISBLANK(Y18),
0,
IF(Y$6 = 4, 1, 0))</f>
        <v>0</v>
      </c>
      <c r="Z20" s="154">
        <f>IF(ISBLANK(Z18),
0,
IF(Z$6= 4, 1, 0))</f>
        <v>1</v>
      </c>
      <c r="AA20" s="154">
        <f>IF(ISBLANK(AA18),
0,
IF(AA$6 = 4, 1, 0))</f>
        <v>0</v>
      </c>
      <c r="AB20" s="239"/>
      <c r="AC20" s="154">
        <f>IF(ISBLANK(AC18),
0,
IF(AC$6= 4, 1, 0))</f>
        <v>0</v>
      </c>
      <c r="AD20" s="154">
        <f>IF(ISBLANK(AD18),
0,
IF(AD$6 = 4, 1, 0))</f>
        <v>1</v>
      </c>
      <c r="AE20" s="154">
        <f>IF(ISBLANK(AE18),
0,
IF(AE$6= 4, 1, 0))</f>
        <v>0</v>
      </c>
      <c r="AF20" s="154">
        <f>IF(ISBLANK(AF18),
0,
IF(AF$6 = 4, 1, 0))</f>
        <v>1</v>
      </c>
      <c r="AG20" s="239"/>
      <c r="AH20" s="154">
        <f>IF(ISBLANK(AH18),
0,
IF(AH$6= 4, 1, 0))</f>
        <v>0</v>
      </c>
      <c r="AI20" s="154">
        <f>IF(ISBLANK(AI18),
0,
IF(AI$6 = 4, 1, 0))</f>
        <v>0</v>
      </c>
      <c r="AJ20" s="239"/>
      <c r="AK20" s="240">
        <f>SUM(C20:AI20)</f>
        <v>13</v>
      </c>
      <c r="AL20" s="207"/>
    </row>
    <row r="21" spans="1:38" s="27" customFormat="1" ht="12.75" hidden="1" customHeight="1" x14ac:dyDescent="0.2">
      <c r="A21" s="149"/>
      <c r="B21" s="220" t="s">
        <v>79</v>
      </c>
      <c r="C21" s="154">
        <f>IF(C20 = 0,
0,
IF(C18 = (C$6+D$6),1,0))</f>
        <v>1</v>
      </c>
      <c r="D21" s="154">
        <f>IF(D20 = 0,
0,
IF(D18 = (C$6+D$6),1,0))</f>
        <v>0</v>
      </c>
      <c r="E21" s="154">
        <f>IF(E20 = 0,
0,
IF(E18 = (E$6+F$6),1,0))</f>
        <v>1</v>
      </c>
      <c r="F21" s="154">
        <f>IF(F20 = 0,
0,
IF(F18 = (E$6+F$6),1,0))</f>
        <v>0</v>
      </c>
      <c r="G21" s="154">
        <f>IF(G20 = 0,
0,
IF(G18 = (G$6+H$6),1,0))</f>
        <v>1</v>
      </c>
      <c r="H21" s="154">
        <f>IF(H20 = 0,
0,
IF(H18 = (G$6+H$6),1,0))</f>
        <v>0</v>
      </c>
      <c r="I21" s="154">
        <f>IF(I20 = 0,
0,
IF(I18 = (I$6+J$6),1,0))</f>
        <v>0</v>
      </c>
      <c r="J21" s="154">
        <f>IF(J20 = 0,
0,
IF(J18 = (I$6+J$6),1,0))</f>
        <v>0</v>
      </c>
      <c r="K21" s="154">
        <f>IF(K20 = 0,
0,
IF(K18 = (K$6+L$6),1,0))</f>
        <v>0</v>
      </c>
      <c r="L21" s="154">
        <f>IF(L20 = 0,
0,
IF(L18 = (K$6+L$6),1,0))</f>
        <v>0</v>
      </c>
      <c r="M21" s="154">
        <f>IF(M20 = 0,
0,
IF(M18 = (M$6+N$6),1,0))</f>
        <v>1</v>
      </c>
      <c r="N21" s="154">
        <f>IF(N20 = 0,
0,
IF(N18 = (M$6+N$6),1,0))</f>
        <v>0</v>
      </c>
      <c r="O21" s="154">
        <f>IF(O20 = 0,
0,
IF(O18 = (O$6+P$6),1,0))</f>
        <v>0</v>
      </c>
      <c r="P21" s="154">
        <f>IF(P20 = 0,
0,
IF(P18 = (O$6+P$6),1,0))</f>
        <v>0</v>
      </c>
      <c r="Q21" s="154">
        <f>IF(Q20 = 0,
0,
IF(Q18 = (Q$6+R$6),1,0))</f>
        <v>0</v>
      </c>
      <c r="R21" s="154">
        <f>IF(R20 = 0,
0,
IF(R18 = (Q$6+R$6),1,0))</f>
        <v>0</v>
      </c>
      <c r="S21" s="239"/>
      <c r="T21" s="154">
        <f>IF(T20 = 0,
0,
IF(T18 = (T$6+U$6),1,0))</f>
        <v>0</v>
      </c>
      <c r="U21" s="154">
        <f>IF(U20 = 0,
0,
IF(U18 = (T$6+U$6),1,0))</f>
        <v>0</v>
      </c>
      <c r="V21" s="154">
        <f>IF(V20 = 0,
0,
IF(V18 = (V$6+W$6),1,0))</f>
        <v>0</v>
      </c>
      <c r="W21" s="154">
        <f>IF(W20 = 0,
0,
IF(W18 = (V$6+W$6),1,0))</f>
        <v>0</v>
      </c>
      <c r="X21" s="154">
        <f>IF(X20 = 0,
0,
IF(X18 = (X$6+Y$6),1,0))</f>
        <v>0</v>
      </c>
      <c r="Y21" s="154">
        <f>IF(Y20 = 0,
0,
IF(Y18 = (X$6+Y$6),1,0))</f>
        <v>0</v>
      </c>
      <c r="Z21" s="154">
        <f>IF(Z20 = 0,
0,
IF(Z18 = (Z$6+AA$6),1,0))</f>
        <v>0</v>
      </c>
      <c r="AA21" s="154">
        <f>IF(AA20 = 0,
0,
IF(AA18 = (Z$6+AA$6),1,0))</f>
        <v>0</v>
      </c>
      <c r="AB21" s="239"/>
      <c r="AC21" s="154">
        <f>IF(AC20 = 0,
0,
IF(AC18 = (AC$6+AD$6),1,0))</f>
        <v>0</v>
      </c>
      <c r="AD21" s="154">
        <f>IF(AD20 = 0,
0,
IF(AD18 = (AC$6+AD$6),1,0))</f>
        <v>0</v>
      </c>
      <c r="AE21" s="154">
        <f>IF(AE20 = 0,
0,
IF(AE18 = (AE$6+AF$6),1,0))</f>
        <v>0</v>
      </c>
      <c r="AF21" s="154">
        <f>IF(AF20 = 0,
0,
IF(AF18 = (AE$6+AF$6),1,0))</f>
        <v>0</v>
      </c>
      <c r="AG21" s="239"/>
      <c r="AH21" s="154">
        <f>IF(AH20 = 0,
0,
IF(AH18 = (AH$6+AI$6),1,0))</f>
        <v>0</v>
      </c>
      <c r="AI21" s="154">
        <f>IF(AI20 = 0,
0,
IF(AI18 = (AH$6+AI$6),1,0))</f>
        <v>0</v>
      </c>
      <c r="AJ21" s="239"/>
      <c r="AK21" s="240">
        <f>SUM(C21:AI21)</f>
        <v>4</v>
      </c>
      <c r="AL21" s="207"/>
    </row>
    <row r="22" spans="1:38" s="27" customFormat="1" ht="12.75" customHeight="1" x14ac:dyDescent="0.2">
      <c r="A22" s="149">
        <f>RANK(AL22,$AL$10:$AL$82,)</f>
        <v>4</v>
      </c>
      <c r="B22" s="93" t="s">
        <v>66</v>
      </c>
      <c r="C22" s="153">
        <v>5</v>
      </c>
      <c r="D22" s="46"/>
      <c r="E22" s="156">
        <v>7</v>
      </c>
      <c r="F22" s="46"/>
      <c r="G22" s="151">
        <v>6</v>
      </c>
      <c r="H22" s="48"/>
      <c r="I22" s="45">
        <v>5</v>
      </c>
      <c r="J22" s="48"/>
      <c r="K22" s="216">
        <v>6</v>
      </c>
      <c r="L22" s="48"/>
      <c r="M22" s="156">
        <v>5</v>
      </c>
      <c r="N22" s="46"/>
      <c r="O22" s="45"/>
      <c r="P22" s="46">
        <v>7</v>
      </c>
      <c r="Q22" s="49"/>
      <c r="R22" s="51">
        <v>7</v>
      </c>
      <c r="S22" s="206">
        <f>SUM(C23:R23)</f>
        <v>73</v>
      </c>
      <c r="T22" s="47">
        <v>7</v>
      </c>
      <c r="U22" s="48"/>
      <c r="V22" s="45"/>
      <c r="W22" s="48">
        <v>6</v>
      </c>
      <c r="X22" s="50"/>
      <c r="Y22" s="161">
        <v>7</v>
      </c>
      <c r="Z22" s="49">
        <v>7</v>
      </c>
      <c r="AA22" s="51"/>
      <c r="AB22" s="206">
        <f>SUM(T23:AA23)</f>
        <v>48</v>
      </c>
      <c r="AC22" s="49">
        <v>6</v>
      </c>
      <c r="AD22" s="48"/>
      <c r="AE22" s="50">
        <v>7</v>
      </c>
      <c r="AF22" s="48"/>
      <c r="AG22" s="206">
        <f>SUM(AC23:AF23)</f>
        <v>4</v>
      </c>
      <c r="AH22" s="44">
        <v>6</v>
      </c>
      <c r="AI22" s="58"/>
      <c r="AJ22" s="206">
        <f>AH23</f>
        <v>24</v>
      </c>
      <c r="AK22" s="134">
        <f>MAX($AL$10:$AL$82) - AL22</f>
        <v>20</v>
      </c>
      <c r="AL22" s="206">
        <f>$S22+$AB22+$AG22+$AJ22</f>
        <v>149</v>
      </c>
    </row>
    <row r="23" spans="1:38" s="27" customFormat="1" ht="12.75" hidden="1" customHeight="1" x14ac:dyDescent="0.2">
      <c r="A23" s="149" t="e">
        <f>RANK(AL23,$AL$10:$AL$82,)</f>
        <v>#N/A</v>
      </c>
      <c r="B23" s="101"/>
      <c r="C23" s="238">
        <f>(IF($C22&lt;&gt;"",($C$6*$O$92)+IF($C$6=4,($O$90)+IF($C22=$C$6+$D$6,$O$91,0),0),0)+IF($D22&lt;&gt;"",($D$6*$O$92)+IF($D$6=4,($O$90)+IF($D22=$C$6+$D$6,$O$91,0),0),0))</f>
        <v>11</v>
      </c>
      <c r="D23" s="255"/>
      <c r="E23" s="224">
        <f>(IF($E22&lt;&gt;"",($E$6*$O$92)+IF($E$6=4,($O$90)+IF($E22=$E$6+$F$6,$O$91,0),0),0)+IF($F22&lt;&gt;"",($F$6*$O$92)+IF($F$6=4,($O$90)+IF($F22=$E$6+$F$6,$O$91,0),0),0))</f>
        <v>11</v>
      </c>
      <c r="F23" s="255"/>
      <c r="G23" s="224">
        <f>(IF($G22&lt;&gt;"",($G$6*$O$92)+IF($G$6=4,($O$90)+IF($G22=$G$6+$H$6,$O$91,0),0),0)+IF($H22&lt;&gt;"",($H$6*$O$92)+IF($H$6=4,($O$90)+IF($H22=$G$6+$H$6,$O$91,0),0),0))</f>
        <v>11</v>
      </c>
      <c r="H23" s="255"/>
      <c r="I23" s="224">
        <f>(IF($I22&lt;&gt;"",($I$6*$O$92)+IF($I$6=4,($O$90)+IF($I22=$I$6+$J$6,$O$91,0),0),0)+IF($J22&lt;&gt;"",($J$6*$O$92)+IF($J$6=4,($O$90)+IF($J22=$I$6+$J$6,$O$91,0),0),0))</f>
        <v>9</v>
      </c>
      <c r="J23" s="256"/>
      <c r="K23" s="257">
        <f>(IF($K22&lt;&gt;"",($K$6*$O$92)+IF($K$6=4,($O$90)+IF($K22=$K$6+$L$6,$O$91,0),0),0)+IF($L22&lt;&gt;"",($L$6*$O$92)+IF($L$6=4,($O$90)+IF($L22=$K$6+$L$6,$O$91,0),0),0))</f>
        <v>11</v>
      </c>
      <c r="L23" s="255"/>
      <c r="M23" s="224">
        <f>(IF($M22&lt;&gt;"",($M$6*$O$92)+IF($M$6=4,($O$90)+IF($M22=$M$6+$N$6,$O$91,0),0),0)+IF($N22&lt;&gt;"",($N$6*$O$92)+IF($N$6=4,($O$90)+IF($N22=$M$6+$N$6,$O$91,0),0),0))</f>
        <v>11</v>
      </c>
      <c r="N23" s="255"/>
      <c r="O23" s="224">
        <f>(IF($O22&lt;&gt;"",($O$6*$O$92)+IF($O$6=4,($O$90)+IF($O22=$O$6+$P$6,$O$91,0),0),0)+IF($P22&lt;&gt;"",($P$6*$O$92)+IF($P$6=4,($O$90)+IF($P22=$O$6+$P$6,$O$91,0),0),0))</f>
        <v>0</v>
      </c>
      <c r="P23" s="255"/>
      <c r="Q23" s="224">
        <f>(IF($Q22&lt;&gt;"",($Q$6*$O$92)+IF($Q$6=4,($O$90)+IF($Q22=$Q$6+$R$6,$O$91,0),0),0)+IF($R22&lt;&gt;"",($R$6*$O$92)+IF($R$6=4,($O$90)+IF($R22=$Q$6+$R$6,$O$91,0),0),0))</f>
        <v>9</v>
      </c>
      <c r="R23" s="258"/>
      <c r="S23" s="246"/>
      <c r="T23" s="247">
        <f>(IF($T22&lt;&gt;"",($T$6*$P$92)+IF($T$6=4,($P$90)+IF($T22=$T$6+$U$6,$P$91,0),0),0)+IF($U22&lt;&gt;"",($U$6*$P$92)+IF($U$6=4,($P$90)+IF($U22=$T$6+$U$6,$P$91,0),0),0))</f>
        <v>14</v>
      </c>
      <c r="U23" s="248"/>
      <c r="V23" s="249">
        <f>(IF($V22&lt;&gt;"",($V$6*$P$92)+IF($V$6=4,($P$90)+IF($V22=$V$6+$W$6,$P$91,0),0),0)+IF($W22&lt;&gt;"",($W$6*$P$92)+IF($W$6=4,($P$90)+IF($W22=$V$6+$W$6,$P$91,0),0),0))</f>
        <v>2</v>
      </c>
      <c r="W23" s="250"/>
      <c r="X23" s="251">
        <f>(IF($X22&lt;&gt;"",($X$6*$P$92)+IF($X$6=4,($P$90)+IF($X22=$X$6+$Y$6,$P$91,0),0),0)+IF($Y22&lt;&gt;"",($Y$6*$P$92)+IF($Y$6=4,($P$90)+IF($Y22=$X$6+$Y$6,$P$91,0),0),0))</f>
        <v>18</v>
      </c>
      <c r="Y23" s="248"/>
      <c r="Z23" s="249">
        <f>(IF($Z22&lt;&gt;"",($Z$6*$P$92)+IF($Z$6=4,($P$90)+IF($Z22=$Z$6+$AA$6,$P$91,0),0),0)+IF($AA22&lt;&gt;"",($AA$6*$P$92)+IF($AA$6=4,($P$90)+IF($AA22=$Z$6+$AA$6,$P$91,0),0),0))</f>
        <v>14</v>
      </c>
      <c r="AA23" s="252"/>
      <c r="AB23" s="246"/>
      <c r="AC23" s="253">
        <f>(IF($AC22&lt;&gt;"",($AC$6*$Q$92)+IF($AC$6=4,($Q$90)+IF($AC22=$AC$6+$AD$6,$Q$91,0),0),0)+IF($AD22&lt;&gt;"",($AD$6*$Q$92)+IF($AD$6=4,($Q$90)+IF($AD22=$AC$6+$AD$6,$Q$91,0),0),0))</f>
        <v>3</v>
      </c>
      <c r="AD23" s="250"/>
      <c r="AE23" s="251">
        <f>(IF($AE22&lt;&gt;"",($AE$6*$Q$92)+IF($AE$6=4,($Q$90)+IF($AE22=$AE$6+$AF$6,$Q$91,0),0),0)+IF($AF22&lt;&gt;"",($AF$6*$Q$92)+IF($AF$6=4,($Q$90)+IF($AF22=$AE$6+$AF$6,$Q$91,0),0),0))</f>
        <v>1</v>
      </c>
      <c r="AF23" s="253"/>
      <c r="AG23" s="246"/>
      <c r="AH23" s="247">
        <f>(IF($AH22&lt;&gt;"",($AH$6*$R$92)+IF($AH$6=4,($R$90)+IF($AH22=$AH$6+$AI$6,$R$91,0),0),0)+IF($AI22&lt;&gt;"",($AI$6*$R$92)+IF($AI$6=4,($R$90)+IF($AI22=$AH$6+$AI$6,$R$91,0),0),0))</f>
        <v>24</v>
      </c>
      <c r="AI23" s="252"/>
      <c r="AJ23" s="246"/>
      <c r="AK23" s="254">
        <f>MAX($AL$10:$AL$82) - AL23</f>
        <v>169</v>
      </c>
      <c r="AL23" s="205"/>
    </row>
    <row r="24" spans="1:38" s="27" customFormat="1" hidden="1" x14ac:dyDescent="0.2">
      <c r="A24" s="108"/>
      <c r="B24" s="220" t="s">
        <v>78</v>
      </c>
      <c r="C24" s="154">
        <f>IF(ISBLANK(C22),
0,
IF(C$6= 4, 1, 0))</f>
        <v>1</v>
      </c>
      <c r="D24" s="154">
        <f>IF(ISBLANK(D22),
0,
IF(D$6 = 4, 1, 0))</f>
        <v>0</v>
      </c>
      <c r="E24" s="154">
        <f>IF(ISBLANK(E22),
0,
IF(E$6= 4, 1, 0))</f>
        <v>1</v>
      </c>
      <c r="F24" s="154">
        <f>IF(ISBLANK(F22),
0,
IF(F$6 = 4, 1, 0))</f>
        <v>0</v>
      </c>
      <c r="G24" s="154">
        <f>IF(ISBLANK(G22),
0,
IF(G$6= 4, 1, 0))</f>
        <v>1</v>
      </c>
      <c r="H24" s="154">
        <f>IF(ISBLANK(H22),
0,
IF(H$6 = 4, 1, 0))</f>
        <v>0</v>
      </c>
      <c r="I24" s="154">
        <f>IF(ISBLANK(I22),
0,
IF(I$6= 4, 1, 0))</f>
        <v>1</v>
      </c>
      <c r="J24" s="154">
        <f>IF(ISBLANK(J22),
0,
IF(J$6 = 4, 1, 0))</f>
        <v>0</v>
      </c>
      <c r="K24" s="154">
        <f>IF(ISBLANK(K22),
0,
IF(K$6= 4, 1, 0))</f>
        <v>1</v>
      </c>
      <c r="L24" s="154">
        <f>IF(ISBLANK(L22),
0,
IF(L$6 = 4, 1, 0))</f>
        <v>0</v>
      </c>
      <c r="M24" s="154">
        <f>IF(ISBLANK(M22),
0,
IF(M$6= 4, 1, 0))</f>
        <v>1</v>
      </c>
      <c r="N24" s="154">
        <f>IF(ISBLANK(N22),
0,
IF(N$6 = 4, 1, 0))</f>
        <v>0</v>
      </c>
      <c r="O24" s="154">
        <f>IF(ISBLANK(O22),
0,
IF(O$6= 4, 1, 0))</f>
        <v>0</v>
      </c>
      <c r="P24" s="154">
        <f>IF(ISBLANK(P22),
0,
IF(P$6 = 4, 1, 0))</f>
        <v>0</v>
      </c>
      <c r="Q24" s="154">
        <f>IF(ISBLANK(Q22),
0,
IF(Q$6= 4, 1, 0))</f>
        <v>0</v>
      </c>
      <c r="R24" s="154">
        <f>IF(ISBLANK(R22),
0,
IF(R$6 = 4, 1, 0))</f>
        <v>1</v>
      </c>
      <c r="S24" s="239"/>
      <c r="T24" s="154">
        <f>IF(ISBLANK(T22),
0,
IF(T$6= 4, 1, 0))</f>
        <v>1</v>
      </c>
      <c r="U24" s="154">
        <f>IF(ISBLANK(U22),
0,
IF(U$6 = 4, 1, 0))</f>
        <v>0</v>
      </c>
      <c r="V24" s="154">
        <f>IF(ISBLANK(V22),
0,
IF(V$6= 4, 1, 0))</f>
        <v>0</v>
      </c>
      <c r="W24" s="154">
        <f>IF(ISBLANK(W22),
0,
IF(W$6 = 4, 1, 0))</f>
        <v>0</v>
      </c>
      <c r="X24" s="154">
        <f>IF(ISBLANK(X22),
0,
IF(X$6= 4, 1, 0))</f>
        <v>0</v>
      </c>
      <c r="Y24" s="154">
        <f>IF(ISBLANK(Y22),
0,
IF(Y$6 = 4, 1, 0))</f>
        <v>1</v>
      </c>
      <c r="Z24" s="154">
        <f>IF(ISBLANK(Z22),
0,
IF(Z$6= 4, 1, 0))</f>
        <v>1</v>
      </c>
      <c r="AA24" s="154">
        <f>IF(ISBLANK(AA22),
0,
IF(AA$6 = 4, 1, 0))</f>
        <v>0</v>
      </c>
      <c r="AB24" s="239"/>
      <c r="AC24" s="154">
        <f>IF(ISBLANK(AC22),
0,
IF(AC$6= 4, 1, 0))</f>
        <v>0</v>
      </c>
      <c r="AD24" s="154">
        <f>IF(ISBLANK(AD22),
0,
IF(AD$6 = 4, 1, 0))</f>
        <v>0</v>
      </c>
      <c r="AE24" s="154">
        <f>IF(ISBLANK(AE22),
0,
IF(AE$6= 4, 1, 0))</f>
        <v>0</v>
      </c>
      <c r="AF24" s="154">
        <f>IF(ISBLANK(AF22),
0,
IF(AF$6 = 4, 1, 0))</f>
        <v>0</v>
      </c>
      <c r="AG24" s="239"/>
      <c r="AH24" s="154">
        <f>IF(ISBLANK(AH22),
0,
IF(AH$6= 4, 1, 0))</f>
        <v>1</v>
      </c>
      <c r="AI24" s="154">
        <f>IF(ISBLANK(AI22),
0,
IF(AI$6 = 4, 1, 0))</f>
        <v>0</v>
      </c>
      <c r="AJ24" s="239"/>
      <c r="AK24" s="240">
        <f>SUM(C24:AI24)</f>
        <v>11</v>
      </c>
      <c r="AL24" s="207"/>
    </row>
    <row r="25" spans="1:38" s="27" customFormat="1" hidden="1" x14ac:dyDescent="0.2">
      <c r="A25" s="108"/>
      <c r="B25" s="220" t="s">
        <v>79</v>
      </c>
      <c r="C25" s="154">
        <f>IF(C24 = 0,
0,
IF(C22 = (C$6+D$6),1,0))</f>
        <v>1</v>
      </c>
      <c r="D25" s="154">
        <f>IF(D24 = 0,
0,
IF(D22 = (C$6+D$6),1,0))</f>
        <v>0</v>
      </c>
      <c r="E25" s="154">
        <f>IF(E24 = 0,
0,
IF(E22 = (E$6+F$6),1,0))</f>
        <v>1</v>
      </c>
      <c r="F25" s="154">
        <f>IF(F24 = 0,
0,
IF(F22 = (E$6+F$6),1,0))</f>
        <v>0</v>
      </c>
      <c r="G25" s="154">
        <f>IF(G24 = 0,
0,
IF(G22 = (G$6+H$6),1,0))</f>
        <v>1</v>
      </c>
      <c r="H25" s="154">
        <f>IF(H24 = 0,
0,
IF(H22 = (G$6+H$6),1,0))</f>
        <v>0</v>
      </c>
      <c r="I25" s="154">
        <f>IF(I24 = 0,
0,
IF(I22 = (I$6+J$6),1,0))</f>
        <v>0</v>
      </c>
      <c r="J25" s="154">
        <f>IF(J24 = 0,
0,
IF(J22 = (I$6+J$6),1,0))</f>
        <v>0</v>
      </c>
      <c r="K25" s="154">
        <f>IF(K24 = 0,
0,
IF(K22 = (K$6+L$6),1,0))</f>
        <v>1</v>
      </c>
      <c r="L25" s="154">
        <f>IF(L24 = 0,
0,
IF(L22 = (K$6+L$6),1,0))</f>
        <v>0</v>
      </c>
      <c r="M25" s="154">
        <f>IF(M24 = 0,
0,
IF(M22 = (M$6+N$6),1,0))</f>
        <v>1</v>
      </c>
      <c r="N25" s="154">
        <f>IF(N24 = 0,
0,
IF(N22 = (M$6+N$6),1,0))</f>
        <v>0</v>
      </c>
      <c r="O25" s="154">
        <f>IF(O24 = 0,
0,
IF(O22 = (O$6+P$6),1,0))</f>
        <v>0</v>
      </c>
      <c r="P25" s="154">
        <f>IF(P24 = 0,
0,
IF(P22 = (O$6+P$6),1,0))</f>
        <v>0</v>
      </c>
      <c r="Q25" s="154">
        <f>IF(Q24 = 0,
0,
IF(Q22 = (Q$6+R$6),1,0))</f>
        <v>0</v>
      </c>
      <c r="R25" s="154">
        <f>IF(R24 = 0,
0,
IF(R22 = (Q$6+R$6),1,0))</f>
        <v>0</v>
      </c>
      <c r="S25" s="239"/>
      <c r="T25" s="154">
        <f>IF(T24 = 0,
0,
IF(T22 = (T$6+U$6),1,0))</f>
        <v>0</v>
      </c>
      <c r="U25" s="154">
        <f>IF(U24 = 0,
0,
IF(U22 = (T$6+U$6),1,0))</f>
        <v>0</v>
      </c>
      <c r="V25" s="154">
        <f>IF(V24 = 0,
0,
IF(V22 = (V$6+W$6),1,0))</f>
        <v>0</v>
      </c>
      <c r="W25" s="154">
        <f>IF(W24 = 0,
0,
IF(W22 = (V$6+W$6),1,0))</f>
        <v>0</v>
      </c>
      <c r="X25" s="154">
        <f>IF(X24 = 0,
0,
IF(X22 = (X$6+Y$6),1,0))</f>
        <v>0</v>
      </c>
      <c r="Y25" s="154">
        <f>IF(Y24 = 0,
0,
IF(Y22 = (X$6+Y$6),1,0))</f>
        <v>1</v>
      </c>
      <c r="Z25" s="154">
        <f>IF(Z24 = 0,
0,
IF(Z22 = (Z$6+AA$6),1,0))</f>
        <v>0</v>
      </c>
      <c r="AA25" s="154">
        <f>IF(AA24 = 0,
0,
IF(AA22 = (Z$6+AA$6),1,0))</f>
        <v>0</v>
      </c>
      <c r="AB25" s="239"/>
      <c r="AC25" s="154">
        <f>IF(AC24 = 0,
0,
IF(AC22 = (AC$6+AD$6),1,0))</f>
        <v>0</v>
      </c>
      <c r="AD25" s="154">
        <f>IF(AD24 = 0,
0,
IF(AD22 = (AC$6+AD$6),1,0))</f>
        <v>0</v>
      </c>
      <c r="AE25" s="154">
        <f>IF(AE24 = 0,
0,
IF(AE22 = (AE$6+AF$6),1,0))</f>
        <v>0</v>
      </c>
      <c r="AF25" s="154">
        <f>IF(AF24 = 0,
0,
IF(AF22 = (AE$6+AF$6),1,0))</f>
        <v>0</v>
      </c>
      <c r="AG25" s="239"/>
      <c r="AH25" s="154">
        <f>IF(AH24 = 0,
0,
IF(AH22 = (AH$6+AI$6),1,0))</f>
        <v>0</v>
      </c>
      <c r="AI25" s="154">
        <f>IF(AI24 = 0,
0,
IF(AI22 = (AH$6+AI$6),1,0))</f>
        <v>0</v>
      </c>
      <c r="AJ25" s="239"/>
      <c r="AK25" s="240">
        <f>SUM(C25:AI25)</f>
        <v>6</v>
      </c>
      <c r="AL25" s="207"/>
    </row>
    <row r="26" spans="1:38" s="27" customFormat="1" ht="12.75" customHeight="1" x14ac:dyDescent="0.2">
      <c r="A26" s="173">
        <f>RANK(AL26,$AL$10:$AL$82,)</f>
        <v>5</v>
      </c>
      <c r="B26" s="174" t="s">
        <v>74</v>
      </c>
      <c r="C26" s="175">
        <v>5</v>
      </c>
      <c r="D26" s="176"/>
      <c r="E26" s="177">
        <v>7</v>
      </c>
      <c r="F26" s="176"/>
      <c r="G26" s="178">
        <v>6</v>
      </c>
      <c r="H26" s="179"/>
      <c r="I26" s="177">
        <v>6</v>
      </c>
      <c r="J26" s="179"/>
      <c r="K26" s="185">
        <v>4</v>
      </c>
      <c r="L26" s="179"/>
      <c r="M26" s="180"/>
      <c r="N26" s="176">
        <v>7</v>
      </c>
      <c r="O26" s="180">
        <v>6</v>
      </c>
      <c r="P26" s="176"/>
      <c r="Q26" s="182">
        <v>6</v>
      </c>
      <c r="R26" s="183"/>
      <c r="S26" s="210">
        <f>SUM(C27:R27)</f>
        <v>63</v>
      </c>
      <c r="T26" s="184">
        <v>7</v>
      </c>
      <c r="U26" s="179"/>
      <c r="V26" s="180"/>
      <c r="W26" s="179">
        <v>7</v>
      </c>
      <c r="X26" s="185">
        <v>7</v>
      </c>
      <c r="Y26" s="176"/>
      <c r="Z26" s="178">
        <v>6</v>
      </c>
      <c r="AA26" s="183"/>
      <c r="AB26" s="210">
        <f>SUM(T27:AA27)</f>
        <v>37</v>
      </c>
      <c r="AC26" s="182"/>
      <c r="AD26" s="213">
        <v>7</v>
      </c>
      <c r="AE26" s="185"/>
      <c r="AF26" s="179">
        <v>6</v>
      </c>
      <c r="AG26" s="210">
        <f>SUM(AC27:AF27)</f>
        <v>44</v>
      </c>
      <c r="AH26" s="189"/>
      <c r="AI26" s="190">
        <v>6</v>
      </c>
      <c r="AJ26" s="210">
        <f>AH27</f>
        <v>1</v>
      </c>
      <c r="AK26" s="188">
        <f>MAX($AL$10:$AL$82) - AL26</f>
        <v>24</v>
      </c>
      <c r="AL26" s="210">
        <f>$S26+$AB26+$AG26+$AJ26</f>
        <v>145</v>
      </c>
    </row>
    <row r="27" spans="1:38" s="27" customFormat="1" ht="12.75" hidden="1" customHeight="1" x14ac:dyDescent="0.2">
      <c r="A27" s="149" t="e">
        <f>RANK(AL27,$AL$10:$AL$82,)</f>
        <v>#N/A</v>
      </c>
      <c r="B27" s="101"/>
      <c r="C27" s="154">
        <f>(IF($C26&lt;&gt;"",($C$6*$O$92)+IF($C$6=4,($O$90)+IF($C26=$C$6+$D$6,$O$91,0),0),0)+IF($D26&lt;&gt;"",($D$6*$O$92)+IF($D$6=4,($O$90)+IF($D26=$C$6+$D$6,$O$91,0),0),0))</f>
        <v>11</v>
      </c>
      <c r="D27" s="242"/>
      <c r="E27" s="157">
        <f>(IF($E26&lt;&gt;"",($E$6*$O$92)+IF($E$6=4,($O$90)+IF($E26=$E$6+$F$6,$O$91,0),0),0)+IF($F26&lt;&gt;"",($F$6*$O$92)+IF($F$6=4,($O$90)+IF($F26=$E$6+$F$6,$O$91,0),0),0))</f>
        <v>11</v>
      </c>
      <c r="F27" s="242"/>
      <c r="G27" s="157">
        <f>(IF($G26&lt;&gt;"",($G$6*$O$92)+IF($G$6=4,($O$90)+IF($G26=$G$6+$H$6,$O$91,0),0),0)+IF($H26&lt;&gt;"",($H$6*$O$92)+IF($H$6=4,($O$90)+IF($H26=$G$6+$H$6,$O$91,0),0),0))</f>
        <v>11</v>
      </c>
      <c r="H27" s="242"/>
      <c r="I27" s="157">
        <f>(IF($I26&lt;&gt;"",($I$6*$O$92)+IF($I$6=4,($O$90)+IF($I26=$I$6+$J$6,$O$91,0),0),0)+IF($J26&lt;&gt;"",($J$6*$O$92)+IF($J$6=4,($O$90)+IF($J26=$I$6+$J$6,$O$91,0),0),0))</f>
        <v>11</v>
      </c>
      <c r="J27" s="243"/>
      <c r="K27" s="244">
        <f>(IF($K26&lt;&gt;"",($K$6*$O$92)+IF($K$6=4,($O$90)+IF($K26=$K$6+$L$6,$O$91,0),0),0)+IF($L26&lt;&gt;"",($L$6*$O$92)+IF($L$6=4,($O$90)+IF($L26=$K$6+$L$6,$O$91,0),0),0))</f>
        <v>9</v>
      </c>
      <c r="L27" s="242"/>
      <c r="M27" s="157">
        <f>(IF($M26&lt;&gt;"",($M$6*$O$92)+IF($M$6=4,($O$90)+IF($M26=$M$6+$N$6,$O$91,0),0),0)+IF($N26&lt;&gt;"",($N$6*$O$92)+IF($N$6=4,($O$90)+IF($N26=$M$6+$N$6,$O$91,0),0),0))</f>
        <v>1</v>
      </c>
      <c r="N27" s="242"/>
      <c r="O27" s="157">
        <f>(IF($O26&lt;&gt;"",($O$6*$O$92)+IF($O$6=4,($O$90)+IF($O26=$O$6+$P$6,$O$91,0),0),0)+IF($P26&lt;&gt;"",($P$6*$O$92)+IF($P$6=4,($O$90)+IF($P26=$O$6+$P$6,$O$91,0),0),0))</f>
        <v>9</v>
      </c>
      <c r="P27" s="242"/>
      <c r="Q27" s="157">
        <f>(IF($Q26&lt;&gt;"",($Q$6*$O$92)+IF($Q$6=4,($O$90)+IF($Q26=$Q$6+$R$6,$O$91,0),0),0)+IF($R26&lt;&gt;"",($R$6*$O$92)+IF($R$6=4,($O$90)+IF($R26=$Q$6+$R$6,$O$91,0),0),0))</f>
        <v>0</v>
      </c>
      <c r="R27" s="245"/>
      <c r="S27" s="246"/>
      <c r="T27" s="247">
        <f>(IF($T26&lt;&gt;"",($T$6*$P$92)+IF($T$6=4,($P$90)+IF($T26=$T$6+$U$6,$P$91,0),0),0)+IF($U26&lt;&gt;"",($U$6*$P$92)+IF($U$6=4,($P$90)+IF($U26=$T$6+$U$6,$P$91,0),0),0))</f>
        <v>14</v>
      </c>
      <c r="U27" s="248"/>
      <c r="V27" s="249">
        <f>(IF($V26&lt;&gt;"",($V$6*$P$92)+IF($V$6=4,($P$90)+IF($V26=$V$6+$W$6,$P$91,0),0),0)+IF($W26&lt;&gt;"",($W$6*$P$92)+IF($W$6=4,($P$90)+IF($W26=$V$6+$W$6,$P$91,0),0),0))</f>
        <v>2</v>
      </c>
      <c r="W27" s="250"/>
      <c r="X27" s="251">
        <f>(IF($X26&lt;&gt;"",($X$6*$P$92)+IF($X$6=4,($P$90)+IF($X26=$X$6+$Y$6,$P$91,0),0),0)+IF($Y26&lt;&gt;"",($Y$6*$P$92)+IF($Y$6=4,($P$90)+IF($Y26=$X$6+$Y$6,$P$91,0),0),0))</f>
        <v>3</v>
      </c>
      <c r="Y27" s="248"/>
      <c r="Z27" s="260">
        <f>(IF($Z26&lt;&gt;"",($Z$6*$P$92)+IF($Z$6=4,($P$90)+IF($Z26=$Z$6+$AA$6,$P$91,0),0),0)+IF($AA26&lt;&gt;"",($AA$6*$P$92)+IF($AA$6=4,($P$90)+IF($AA26=$Z$6+$AA$6,$P$91,0),0),0))</f>
        <v>18</v>
      </c>
      <c r="AA27" s="253"/>
      <c r="AB27" s="259"/>
      <c r="AC27" s="253">
        <f>(IF($AC26&lt;&gt;"",($AC$6*$Q$92)+IF($AC$6=4,($Q$90)+IF($AC26=$AC$6+$AD$6,$Q$91,0),0),0)+IF($AD26&lt;&gt;"",($AD$6*$Q$92)+IF($AD$6=4,($Q$90)+IF($AD26=$AC$6+$AD$6,$Q$91,0),0),0))</f>
        <v>25</v>
      </c>
      <c r="AD27" s="250"/>
      <c r="AE27" s="251">
        <f>(IF($AE26&lt;&gt;"",($AE$6*$Q$92)+IF($AE$6=4,($Q$90)+IF($AE26=$AE$6+$AF$6,$Q$91,0),0),0)+IF($AF26&lt;&gt;"",($AF$6*$Q$92)+IF($AF$6=4,($Q$90)+IF($AF26=$AE$6+$AF$6,$Q$91,0),0),0))</f>
        <v>19</v>
      </c>
      <c r="AF27" s="253"/>
      <c r="AG27" s="259"/>
      <c r="AH27" s="253">
        <f>(IF($AH26&lt;&gt;"",($AH$6*$R$92)+IF($AH$6=4,($R$90)+IF($AH26=$AH$6+$AI$6,$R$91,0),0),0)+IF($AI26&lt;&gt;"",($AI$6*$R$92)+IF($AI$6=4,($R$90)+IF($AI26=$AH$6+$AI$6,$R$91,0),0),0))</f>
        <v>1</v>
      </c>
      <c r="AI27" s="252"/>
      <c r="AJ27" s="246"/>
      <c r="AK27" s="254">
        <f>MAX($AL$10:$AL$82) - AL27</f>
        <v>169</v>
      </c>
      <c r="AL27" s="205"/>
    </row>
    <row r="28" spans="1:38" s="27" customFormat="1" hidden="1" x14ac:dyDescent="0.2">
      <c r="A28" s="108"/>
      <c r="B28" s="220" t="s">
        <v>78</v>
      </c>
      <c r="C28" s="154">
        <f>IF(ISBLANK(C26),
0,
IF(C$6= 4, 1, 0))</f>
        <v>1</v>
      </c>
      <c r="D28" s="154">
        <f>IF(ISBLANK(D26),
0,
IF(D$6 = 4, 1, 0))</f>
        <v>0</v>
      </c>
      <c r="E28" s="154">
        <f>IF(ISBLANK(E26),
0,
IF(E$6= 4, 1, 0))</f>
        <v>1</v>
      </c>
      <c r="F28" s="154">
        <f>IF(ISBLANK(F26),
0,
IF(F$6 = 4, 1, 0))</f>
        <v>0</v>
      </c>
      <c r="G28" s="154">
        <f>IF(ISBLANK(G26),
0,
IF(G$6= 4, 1, 0))</f>
        <v>1</v>
      </c>
      <c r="H28" s="154">
        <f>IF(ISBLANK(H26),
0,
IF(H$6 = 4, 1, 0))</f>
        <v>0</v>
      </c>
      <c r="I28" s="154">
        <f>IF(ISBLANK(I26),
0,
IF(I$6= 4, 1, 0))</f>
        <v>1</v>
      </c>
      <c r="J28" s="154">
        <f>IF(ISBLANK(J26),
0,
IF(J$6 = 4, 1, 0))</f>
        <v>0</v>
      </c>
      <c r="K28" s="154">
        <f>IF(ISBLANK(K26),
0,
IF(K$6= 4, 1, 0))</f>
        <v>1</v>
      </c>
      <c r="L28" s="154">
        <f>IF(ISBLANK(L26),
0,
IF(L$6 = 4, 1, 0))</f>
        <v>0</v>
      </c>
      <c r="M28" s="154">
        <f>IF(ISBLANK(M26),
0,
IF(M$6= 4, 1, 0))</f>
        <v>0</v>
      </c>
      <c r="N28" s="154">
        <f>IF(ISBLANK(N26),
0,
IF(N$6 = 4, 1, 0))</f>
        <v>0</v>
      </c>
      <c r="O28" s="154">
        <f>IF(ISBLANK(O26),
0,
IF(O$6= 4, 1, 0))</f>
        <v>1</v>
      </c>
      <c r="P28" s="154">
        <f>IF(ISBLANK(P26),
0,
IF(P$6 = 4, 1, 0))</f>
        <v>0</v>
      </c>
      <c r="Q28" s="154">
        <f>IF(ISBLANK(Q26),
0,
IF(Q$6= 4, 1, 0))</f>
        <v>0</v>
      </c>
      <c r="R28" s="154">
        <f>IF(ISBLANK(R26),
0,
IF(R$6 = 4, 1, 0))</f>
        <v>0</v>
      </c>
      <c r="S28" s="239"/>
      <c r="T28" s="154">
        <f>IF(ISBLANK(T26),
0,
IF(T$6= 4, 1, 0))</f>
        <v>1</v>
      </c>
      <c r="U28" s="154">
        <f>IF(ISBLANK(U26),
0,
IF(U$6 = 4, 1, 0))</f>
        <v>0</v>
      </c>
      <c r="V28" s="154">
        <f>IF(ISBLANK(V26),
0,
IF(V$6= 4, 1, 0))</f>
        <v>0</v>
      </c>
      <c r="W28" s="154">
        <f>IF(ISBLANK(W26),
0,
IF(W$6 = 4, 1, 0))</f>
        <v>0</v>
      </c>
      <c r="X28" s="154">
        <f>IF(ISBLANK(X26),
0,
IF(X$6= 4, 1, 0))</f>
        <v>0</v>
      </c>
      <c r="Y28" s="154">
        <f>IF(ISBLANK(Y26),
0,
IF(Y$6 = 4, 1, 0))</f>
        <v>0</v>
      </c>
      <c r="Z28" s="154">
        <f>IF(ISBLANK(Z26),
0,
IF(Z$6= 4, 1, 0))</f>
        <v>1</v>
      </c>
      <c r="AA28" s="154">
        <f>IF(ISBLANK(AA26),
0,
IF(AA$6 = 4, 1, 0))</f>
        <v>0</v>
      </c>
      <c r="AB28" s="239"/>
      <c r="AC28" s="154">
        <f>IF(ISBLANK(AC26),
0,
IF(AC$6= 4, 1, 0))</f>
        <v>0</v>
      </c>
      <c r="AD28" s="154">
        <f>IF(ISBLANK(AD26),
0,
IF(AD$6 = 4, 1, 0))</f>
        <v>1</v>
      </c>
      <c r="AE28" s="154">
        <f>IF(ISBLANK(AE26),
0,
IF(AE$6= 4, 1, 0))</f>
        <v>0</v>
      </c>
      <c r="AF28" s="154">
        <f>IF(ISBLANK(AF26),
0,
IF(AF$6 = 4, 1, 0))</f>
        <v>1</v>
      </c>
      <c r="AG28" s="239"/>
      <c r="AH28" s="154">
        <f>IF(ISBLANK(AH26),
0,
IF(AH$6= 4, 1, 0))</f>
        <v>0</v>
      </c>
      <c r="AI28" s="154">
        <f>IF(ISBLANK(AI26),
0,
IF(AI$6 = 4, 1, 0))</f>
        <v>0</v>
      </c>
      <c r="AJ28" s="239"/>
      <c r="AK28" s="240">
        <f>SUM(C28:AI28)</f>
        <v>10</v>
      </c>
      <c r="AL28" s="207"/>
    </row>
    <row r="29" spans="1:38" s="27" customFormat="1" hidden="1" x14ac:dyDescent="0.2">
      <c r="A29" s="108"/>
      <c r="B29" s="220" t="s">
        <v>79</v>
      </c>
      <c r="C29" s="154">
        <f>IF(C28 = 0,
0,
IF(C26 = (C$6+D$6),1,0))</f>
        <v>1</v>
      </c>
      <c r="D29" s="154">
        <f>IF(D28 = 0,
0,
IF(D26 = (C$6+D$6),1,0))</f>
        <v>0</v>
      </c>
      <c r="E29" s="154">
        <f>IF(E28 = 0,
0,
IF(E26 = (E$6+F$6),1,0))</f>
        <v>1</v>
      </c>
      <c r="F29" s="154">
        <f>IF(F28 = 0,
0,
IF(F26 = (E$6+F$6),1,0))</f>
        <v>0</v>
      </c>
      <c r="G29" s="154">
        <f>IF(G28 = 0,
0,
IF(G26 = (G$6+H$6),1,0))</f>
        <v>1</v>
      </c>
      <c r="H29" s="154">
        <f>IF(H28 = 0,
0,
IF(H26 = (G$6+H$6),1,0))</f>
        <v>0</v>
      </c>
      <c r="I29" s="154">
        <f>IF(I28 = 0,
0,
IF(I26 = (I$6+J$6),1,0))</f>
        <v>1</v>
      </c>
      <c r="J29" s="154">
        <f>IF(J28 = 0,
0,
IF(J26 = (I$6+J$6),1,0))</f>
        <v>0</v>
      </c>
      <c r="K29" s="154">
        <f>IF(K28 = 0,
0,
IF(K26 = (K$6+L$6),1,0))</f>
        <v>0</v>
      </c>
      <c r="L29" s="154">
        <f>IF(L28 = 0,
0,
IF(L26 = (K$6+L$6),1,0))</f>
        <v>0</v>
      </c>
      <c r="M29" s="154">
        <f>IF(M28 = 0,
0,
IF(M26 = (M$6+N$6),1,0))</f>
        <v>0</v>
      </c>
      <c r="N29" s="154">
        <f>IF(N28 = 0,
0,
IF(N26 = (M$6+N$6),1,0))</f>
        <v>0</v>
      </c>
      <c r="O29" s="154">
        <f>IF(O28 = 0,
0,
IF(O26 = (O$6+P$6),1,0))</f>
        <v>0</v>
      </c>
      <c r="P29" s="154">
        <f>IF(P28 = 0,
0,
IF(P26 = (O$6+P$6),1,0))</f>
        <v>0</v>
      </c>
      <c r="Q29" s="154">
        <f>IF(Q28 = 0,
0,
IF(Q26 = (Q$6+R$6),1,0))</f>
        <v>0</v>
      </c>
      <c r="R29" s="154">
        <f>IF(R28 = 0,
0,
IF(R26 = (Q$6+R$6),1,0))</f>
        <v>0</v>
      </c>
      <c r="S29" s="239"/>
      <c r="T29" s="154">
        <f>IF(T28 = 0,
0,
IF(T26 = (T$6+U$6),1,0))</f>
        <v>0</v>
      </c>
      <c r="U29" s="154">
        <f>IF(U28 = 0,
0,
IF(U26 = (T$6+U$6),1,0))</f>
        <v>0</v>
      </c>
      <c r="V29" s="154">
        <f>IF(V28 = 0,
0,
IF(V26 = (V$6+W$6),1,0))</f>
        <v>0</v>
      </c>
      <c r="W29" s="154">
        <f>IF(W28 = 0,
0,
IF(W26 = (V$6+W$6),1,0))</f>
        <v>0</v>
      </c>
      <c r="X29" s="154">
        <f>IF(X28 = 0,
0,
IF(X26 = (X$6+Y$6),1,0))</f>
        <v>0</v>
      </c>
      <c r="Y29" s="154">
        <f>IF(Y28 = 0,
0,
IF(Y26 = (X$6+Y$6),1,0))</f>
        <v>0</v>
      </c>
      <c r="Z29" s="154">
        <f>IF(Z28 = 0,
0,
IF(Z26 = (Z$6+AA$6),1,0))</f>
        <v>1</v>
      </c>
      <c r="AA29" s="154">
        <f>IF(AA28 = 0,
0,
IF(AA26 = (Z$6+AA$6),1,0))</f>
        <v>0</v>
      </c>
      <c r="AB29" s="239"/>
      <c r="AC29" s="154">
        <f>IF(AC28 = 0,
0,
IF(AC26 = (AC$6+AD$6),1,0))</f>
        <v>0</v>
      </c>
      <c r="AD29" s="154">
        <f>IF(AD28 = 0,
0,
IF(AD26 = (AC$6+AD$6),1,0))</f>
        <v>1</v>
      </c>
      <c r="AE29" s="154">
        <f>IF(AE28 = 0,
0,
IF(AE26 = (AE$6+AF$6),1,0))</f>
        <v>0</v>
      </c>
      <c r="AF29" s="154">
        <f>IF(AF28 = 0,
0,
IF(AF26 = (AE$6+AF$6),1,0))</f>
        <v>0</v>
      </c>
      <c r="AG29" s="239"/>
      <c r="AH29" s="154">
        <f>IF(AH28 = 0,
0,
IF(AH26 = (AH$6+AI$6),1,0))</f>
        <v>0</v>
      </c>
      <c r="AI29" s="154">
        <f>IF(AI28 = 0,
0,
IF(AI26 = (AH$6+AI$6),1,0))</f>
        <v>0</v>
      </c>
      <c r="AJ29" s="239"/>
      <c r="AK29" s="240">
        <f>SUM(C29:AI29)</f>
        <v>6</v>
      </c>
      <c r="AL29" s="207"/>
    </row>
    <row r="30" spans="1:38" s="27" customFormat="1" ht="12.75" customHeight="1" x14ac:dyDescent="0.2">
      <c r="A30" s="149">
        <f>RANK(AL30,$AL$10:$AL$82,)</f>
        <v>6</v>
      </c>
      <c r="B30" s="93" t="s">
        <v>63</v>
      </c>
      <c r="C30" s="47">
        <v>6</v>
      </c>
      <c r="D30" s="46"/>
      <c r="E30" s="45">
        <v>5</v>
      </c>
      <c r="F30" s="46"/>
      <c r="G30" s="49">
        <v>7</v>
      </c>
      <c r="H30" s="48"/>
      <c r="I30" s="156">
        <v>6</v>
      </c>
      <c r="J30" s="48"/>
      <c r="K30" s="50">
        <v>5</v>
      </c>
      <c r="L30" s="48"/>
      <c r="M30" s="45">
        <v>7</v>
      </c>
      <c r="N30" s="46"/>
      <c r="O30" s="45"/>
      <c r="P30" s="46">
        <v>6</v>
      </c>
      <c r="Q30" s="49">
        <v>7</v>
      </c>
      <c r="R30" s="51"/>
      <c r="S30" s="206">
        <f>SUM(C31:R31)</f>
        <v>56</v>
      </c>
      <c r="T30" s="47">
        <v>7</v>
      </c>
      <c r="U30" s="48"/>
      <c r="V30" s="45">
        <v>7</v>
      </c>
      <c r="W30" s="48"/>
      <c r="X30" s="50"/>
      <c r="Y30" s="46">
        <v>6</v>
      </c>
      <c r="Z30" s="49"/>
      <c r="AA30" s="48">
        <v>6</v>
      </c>
      <c r="AB30" s="206">
        <f>SUM(T31:AA31)</f>
        <v>44</v>
      </c>
      <c r="AC30" s="49"/>
      <c r="AD30" s="48">
        <v>6</v>
      </c>
      <c r="AE30" s="50">
        <v>7</v>
      </c>
      <c r="AF30" s="48"/>
      <c r="AG30" s="206">
        <f>SUM(AC31:AF31)</f>
        <v>20</v>
      </c>
      <c r="AH30" s="113">
        <v>4</v>
      </c>
      <c r="AI30" s="58"/>
      <c r="AJ30" s="206">
        <f>AH31</f>
        <v>24</v>
      </c>
      <c r="AK30" s="134">
        <f>MAX($AL$10:$AL$82) - AL30</f>
        <v>25</v>
      </c>
      <c r="AL30" s="210">
        <f>$S30+$AB30+$AG30+$AJ30</f>
        <v>144</v>
      </c>
    </row>
    <row r="31" spans="1:38" s="27" customFormat="1" ht="12.75" hidden="1" customHeight="1" x14ac:dyDescent="0.2">
      <c r="A31" s="149" t="e">
        <f>RANK(AL31,$AL$10:$AL$82,)</f>
        <v>#N/A</v>
      </c>
      <c r="B31" s="107"/>
      <c r="C31" s="83">
        <f>(IF($C30&lt;&gt;"",($C$6*$O$92)+IF($C$6=4,($O$90)+IF($C30=$C$6+$D$6,$O$91,0),0),0)+IF($D30&lt;&gt;"",($D$6*$O$92)+IF($D$6=4,($O$90)+IF($D30=$C$6+$D$6,$O$91,0),0),0))</f>
        <v>9</v>
      </c>
      <c r="D31" s="84"/>
      <c r="E31" s="85">
        <f>(IF($E30&lt;&gt;"",($E$6*$O$92)+IF($E$6=4,($O$90)+IF($E30=$E$6+$F$6,$O$91,0),0),0)+IF($F30&lt;&gt;"",($F$6*$O$92)+IF($F$6=4,($O$90)+IF($F30=$E$6+$F$6,$O$91,0),0),0))</f>
        <v>9</v>
      </c>
      <c r="F31" s="84"/>
      <c r="G31" s="85">
        <f>(IF($G30&lt;&gt;"",($G$6*$O$92)+IF($G$6=4,($O$90)+IF($G30=$G$6+$H$6,$O$91,0),0),0)+IF($H30&lt;&gt;"",($H$6*$O$92)+IF($H$6=4,($O$90)+IF($H30=$G$6+$H$6,$O$91,0),0),0))</f>
        <v>9</v>
      </c>
      <c r="H31" s="84"/>
      <c r="I31" s="85">
        <f>(IF($I30&lt;&gt;"",($I$6*$O$92)+IF($I$6=4,($O$90)+IF($I30=$I$6+$J$6,$O$91,0),0),0)+IF($J30&lt;&gt;"",($J$6*$O$92)+IF($J$6=4,($O$90)+IF($J30=$I$6+$J$6,$O$91,0),0),0))</f>
        <v>11</v>
      </c>
      <c r="J31" s="86"/>
      <c r="K31" s="87">
        <f>(IF($K30&lt;&gt;"",($K$6*$O$92)+IF($K$6=4,($O$90)+IF($K30=$K$6+$L$6,$O$91,0),0),0)+IF($L30&lt;&gt;"",($L$6*$O$92)+IF($L$6=4,($O$90)+IF($L30=$K$6+$L$6,$O$91,0),0),0))</f>
        <v>9</v>
      </c>
      <c r="L31" s="84"/>
      <c r="M31" s="85">
        <f>(IF($M30&lt;&gt;"",($M$6*$O$92)+IF($M$6=4,($O$90)+IF($M30=$M$6+$N$6,$O$91,0),0),0)+IF($N30&lt;&gt;"",($N$6*$O$92)+IF($N$6=4,($O$90)+IF($N30=$M$6+$N$6,$O$91,0),0),0))</f>
        <v>9</v>
      </c>
      <c r="N31" s="84"/>
      <c r="O31" s="85">
        <f>(IF($O30&lt;&gt;"",($O$6*$O$92)+IF($O$6=4,($O$90)+IF($O30=$O$6+$P$6,$O$91,0),0),0)+IF($P30&lt;&gt;"",($P$6*$O$92)+IF($P$6=4,($O$90)+IF($P30=$O$6+$P$6,$O$91,0),0),0))</f>
        <v>0</v>
      </c>
      <c r="P31" s="84"/>
      <c r="Q31" s="85">
        <f>(IF($Q30&lt;&gt;"",($Q$6*$O$92)+IF($Q$6=4,($O$90)+IF($Q30=$Q$6+$R$6,$O$91,0),0),0)+IF($R30&lt;&gt;"",($R$6*$O$92)+IF($R$6=4,($O$90)+IF($R30=$Q$6+$R$6,$O$91,0),0),0))</f>
        <v>0</v>
      </c>
      <c r="R31" s="88"/>
      <c r="S31" s="205"/>
      <c r="T31" s="60">
        <f>(IF($T30&lt;&gt;"",($T$6*$P$92)+IF($T$6=4,($P$90)+IF($T30=$T$6+$U$6,$P$91,0),0),0)+IF($U30&lt;&gt;"",($U$6*$P$92)+IF($U$6=4,($P$90)+IF($U30=$T$6+$U$6,$P$91,0),0),0))</f>
        <v>14</v>
      </c>
      <c r="U31" s="61"/>
      <c r="V31" s="62">
        <f>(IF($V30&lt;&gt;"",($V$6*$P$92)+IF($V$6=4,($P$90)+IF($V30=$V$6+$W$6,$P$91,0),0),0)+IF($W30&lt;&gt;"",($W$6*$P$92)+IF($W$6=4,($P$90)+IF($W30=$V$6+$W$6,$P$91,0),0),0))</f>
        <v>14</v>
      </c>
      <c r="W31" s="63"/>
      <c r="X31" s="64">
        <f>(IF($X30&lt;&gt;"",($X$6*$P$92)+IF($X$6=4,($P$90)+IF($X30=$X$6+$Y$6,$P$91,0),0),0)+IF($Y30&lt;&gt;"",($Y$6*$P$92)+IF($Y$6=4,($P$90)+IF($Y30=$X$6+$Y$6,$P$91,0),0),0))</f>
        <v>14</v>
      </c>
      <c r="Y31" s="61"/>
      <c r="Z31" s="152">
        <f>(IF($Z30&lt;&gt;"",($Z$6*$P$92)+IF($Z$6=4,($P$90)+IF($Z30=$Z$6+$AA$6,$P$91,0),0),0)+IF($AA30&lt;&gt;"",($AA$6*$P$92)+IF($AA$6=4,($P$90)+IF($AA30=$Z$6+$AA$6,$P$91,0),0),0))</f>
        <v>2</v>
      </c>
      <c r="AA31" s="94"/>
      <c r="AB31" s="205"/>
      <c r="AC31" s="94">
        <f>(IF($AC30&lt;&gt;"",($AC$6*$Q$92)+IF($AC$6=4,($Q$90)+IF($AC30=$AC$6+$AD$6,$Q$91,0),0),0)+IF($AD30&lt;&gt;"",($AD$6*$Q$92)+IF($AD$6=4,($Q$90)+IF($AD30=$AC$6+$AD$6,$Q$91,0),0),0))</f>
        <v>19</v>
      </c>
      <c r="AD31" s="63"/>
      <c r="AE31" s="64">
        <f>(IF($AE30&lt;&gt;"",($AE$6*$Q$92)+IF($AE$6=4,($Q$90)+IF($AE30=$AE$6+$AF$6,$Q$91,0),0),0)+IF($AF30&lt;&gt;"",($AF$6*$Q$92)+IF($AF$6=4,($Q$90)+IF($AF30=$AE$6+$AF$6,$Q$91,0),0),0))</f>
        <v>1</v>
      </c>
      <c r="AF31" s="94"/>
      <c r="AG31" s="205"/>
      <c r="AH31" s="94">
        <f>(IF($AH30&lt;&gt;"",($AH$6*$R$92)+IF($AH$6=4,($R$90)+IF($AH30=$AH$6+$AI$6,$R$91,0),0),0)+IF($AI30&lt;&gt;"",($AI$6*$R$92)+IF($AI$6=4,($R$90)+IF($AI30=$AH$6+$AI$6,$R$91,0),0),0))</f>
        <v>24</v>
      </c>
      <c r="AI31" s="65"/>
      <c r="AJ31" s="205"/>
      <c r="AK31" s="101">
        <f>MAX($AL$10:$AL$82) - AL31</f>
        <v>169</v>
      </c>
      <c r="AL31" s="205"/>
    </row>
    <row r="32" spans="1:38" s="27" customFormat="1" hidden="1" x14ac:dyDescent="0.2">
      <c r="A32" s="108"/>
      <c r="B32" s="220" t="s">
        <v>78</v>
      </c>
      <c r="C32" s="154">
        <f>IF(ISBLANK(C30),
0,
IF(C$6= 4, 1, 0))</f>
        <v>1</v>
      </c>
      <c r="D32" s="154">
        <f>IF(ISBLANK(D30),
0,
IF(D$6 = 4, 1, 0))</f>
        <v>0</v>
      </c>
      <c r="E32" s="154">
        <f>IF(ISBLANK(E30),
0,
IF(E$6= 4, 1, 0))</f>
        <v>1</v>
      </c>
      <c r="F32" s="154">
        <f>IF(ISBLANK(F30),
0,
IF(F$6 = 4, 1, 0))</f>
        <v>0</v>
      </c>
      <c r="G32" s="154">
        <f>IF(ISBLANK(G30),
0,
IF(G$6= 4, 1, 0))</f>
        <v>1</v>
      </c>
      <c r="H32" s="154">
        <f>IF(ISBLANK(H30),
0,
IF(H$6 = 4, 1, 0))</f>
        <v>0</v>
      </c>
      <c r="I32" s="154">
        <f>IF(ISBLANK(I30),
0,
IF(I$6= 4, 1, 0))</f>
        <v>1</v>
      </c>
      <c r="J32" s="154">
        <f>IF(ISBLANK(J30),
0,
IF(J$6 = 4, 1, 0))</f>
        <v>0</v>
      </c>
      <c r="K32" s="154">
        <f>IF(ISBLANK(K30),
0,
IF(K$6= 4, 1, 0))</f>
        <v>1</v>
      </c>
      <c r="L32" s="154">
        <f>IF(ISBLANK(L30),
0,
IF(L$6 = 4, 1, 0))</f>
        <v>0</v>
      </c>
      <c r="M32" s="154">
        <f>IF(ISBLANK(M30),
0,
IF(M$6= 4, 1, 0))</f>
        <v>1</v>
      </c>
      <c r="N32" s="154">
        <f>IF(ISBLANK(N30),
0,
IF(N$6 = 4, 1, 0))</f>
        <v>0</v>
      </c>
      <c r="O32" s="154">
        <f>IF(ISBLANK(O30),
0,
IF(O$6= 4, 1, 0))</f>
        <v>0</v>
      </c>
      <c r="P32" s="154">
        <f>IF(ISBLANK(P30),
0,
IF(P$6 = 4, 1, 0))</f>
        <v>0</v>
      </c>
      <c r="Q32" s="154">
        <f>IF(ISBLANK(Q30),
0,
IF(Q$6= 4, 1, 0))</f>
        <v>0</v>
      </c>
      <c r="R32" s="154">
        <f>IF(ISBLANK(R30),
0,
IF(R$6 = 4, 1, 0))</f>
        <v>0</v>
      </c>
      <c r="S32" s="239"/>
      <c r="T32" s="154">
        <f>IF(ISBLANK(T30),
0,
IF(T$6= 4, 1, 0))</f>
        <v>1</v>
      </c>
      <c r="U32" s="154">
        <f>IF(ISBLANK(U30),
0,
IF(U$6 = 4, 1, 0))</f>
        <v>0</v>
      </c>
      <c r="V32" s="154">
        <f>IF(ISBLANK(V30),
0,
IF(V$6= 4, 1, 0))</f>
        <v>1</v>
      </c>
      <c r="W32" s="154">
        <f>IF(ISBLANK(W30),
0,
IF(W$6 = 4, 1, 0))</f>
        <v>0</v>
      </c>
      <c r="X32" s="154">
        <f>IF(ISBLANK(X30),
0,
IF(X$6= 4, 1, 0))</f>
        <v>0</v>
      </c>
      <c r="Y32" s="154">
        <f>IF(ISBLANK(Y30),
0,
IF(Y$6 = 4, 1, 0))</f>
        <v>1</v>
      </c>
      <c r="Z32" s="154">
        <f>IF(ISBLANK(Z30),
0,
IF(Z$6= 4, 1, 0))</f>
        <v>0</v>
      </c>
      <c r="AA32" s="154">
        <f>IF(ISBLANK(AA30),
0,
IF(AA$6 = 4, 1, 0))</f>
        <v>0</v>
      </c>
      <c r="AB32" s="239"/>
      <c r="AC32" s="154">
        <f>IF(ISBLANK(AC30),
0,
IF(AC$6= 4, 1, 0))</f>
        <v>0</v>
      </c>
      <c r="AD32" s="154">
        <f>IF(ISBLANK(AD30),
0,
IF(AD$6 = 4, 1, 0))</f>
        <v>1</v>
      </c>
      <c r="AE32" s="154">
        <f>IF(ISBLANK(AE30),
0,
IF(AE$6= 4, 1, 0))</f>
        <v>0</v>
      </c>
      <c r="AF32" s="154">
        <f>IF(ISBLANK(AF30),
0,
IF(AF$6 = 4, 1, 0))</f>
        <v>0</v>
      </c>
      <c r="AG32" s="239"/>
      <c r="AH32" s="154">
        <f>IF(ISBLANK(AH30),
0,
IF(AH$6= 4, 1, 0))</f>
        <v>1</v>
      </c>
      <c r="AI32" s="154">
        <f>IF(ISBLANK(AI30),
0,
IF(AI$6 = 4, 1, 0))</f>
        <v>0</v>
      </c>
      <c r="AJ32" s="239"/>
      <c r="AK32" s="240">
        <f>SUM(C32:AI32)</f>
        <v>11</v>
      </c>
      <c r="AL32" s="207"/>
    </row>
    <row r="33" spans="1:38" s="27" customFormat="1" hidden="1" x14ac:dyDescent="0.2">
      <c r="A33" s="108"/>
      <c r="B33" s="220" t="s">
        <v>79</v>
      </c>
      <c r="C33" s="154">
        <f>IF(C32 = 0,
0,
IF(C30 = (C$6+D$6),1,0))</f>
        <v>0</v>
      </c>
      <c r="D33" s="154">
        <f>IF(D32 = 0,
0,
IF(D30 = (C$6+D$6),1,0))</f>
        <v>0</v>
      </c>
      <c r="E33" s="154">
        <f>IF(E32 = 0,
0,
IF(E30 = (E$6+F$6),1,0))</f>
        <v>0</v>
      </c>
      <c r="F33" s="154">
        <f>IF(F32 = 0,
0,
IF(F30 = (E$6+F$6),1,0))</f>
        <v>0</v>
      </c>
      <c r="G33" s="154">
        <f>IF(G32 = 0,
0,
IF(G30 = (G$6+H$6),1,0))</f>
        <v>0</v>
      </c>
      <c r="H33" s="154">
        <f>IF(H32 = 0,
0,
IF(H30 = (G$6+H$6),1,0))</f>
        <v>0</v>
      </c>
      <c r="I33" s="154">
        <f>IF(I32 = 0,
0,
IF(I30 = (I$6+J$6),1,0))</f>
        <v>1</v>
      </c>
      <c r="J33" s="154">
        <f>IF(J32 = 0,
0,
IF(J30 = (I$6+J$6),1,0))</f>
        <v>0</v>
      </c>
      <c r="K33" s="154">
        <f>IF(K32 = 0,
0,
IF(K30 = (K$6+L$6),1,0))</f>
        <v>0</v>
      </c>
      <c r="L33" s="154">
        <f>IF(L32 = 0,
0,
IF(L30 = (K$6+L$6),1,0))</f>
        <v>0</v>
      </c>
      <c r="M33" s="154">
        <f>IF(M32 = 0,
0,
IF(M30 = (M$6+N$6),1,0))</f>
        <v>0</v>
      </c>
      <c r="N33" s="154">
        <f>IF(N32 = 0,
0,
IF(N30 = (M$6+N$6),1,0))</f>
        <v>0</v>
      </c>
      <c r="O33" s="154">
        <f>IF(O32 = 0,
0,
IF(O30 = (O$6+P$6),1,0))</f>
        <v>0</v>
      </c>
      <c r="P33" s="154">
        <f>IF(P32 = 0,
0,
IF(P30 = (O$6+P$6),1,0))</f>
        <v>0</v>
      </c>
      <c r="Q33" s="154">
        <f>IF(Q32 = 0,
0,
IF(Q30 = (Q$6+R$6),1,0))</f>
        <v>0</v>
      </c>
      <c r="R33" s="154">
        <f>IF(R32 = 0,
0,
IF(R30 = (Q$6+R$6),1,0))</f>
        <v>0</v>
      </c>
      <c r="S33" s="239"/>
      <c r="T33" s="154">
        <f>IF(T32 = 0,
0,
IF(T30 = (T$6+U$6),1,0))</f>
        <v>0</v>
      </c>
      <c r="U33" s="154">
        <f>IF(U32 = 0,
0,
IF(U30 = (T$6+U$6),1,0))</f>
        <v>0</v>
      </c>
      <c r="V33" s="154">
        <f>IF(V32 = 0,
0,
IF(V30 = (V$6+W$6),1,0))</f>
        <v>0</v>
      </c>
      <c r="W33" s="154">
        <f>IF(W32 = 0,
0,
IF(W30 = (V$6+W$6),1,0))</f>
        <v>0</v>
      </c>
      <c r="X33" s="154">
        <f>IF(X32 = 0,
0,
IF(X30 = (X$6+Y$6),1,0))</f>
        <v>0</v>
      </c>
      <c r="Y33" s="154">
        <f>IF(Y32 = 0,
0,
IF(Y30 = (X$6+Y$6),1,0))</f>
        <v>0</v>
      </c>
      <c r="Z33" s="154">
        <f>IF(Z32 = 0,
0,
IF(Z30 = (Z$6+AA$6),1,0))</f>
        <v>0</v>
      </c>
      <c r="AA33" s="154">
        <f>IF(AA32 = 0,
0,
IF(AA30 = (Z$6+AA$6),1,0))</f>
        <v>0</v>
      </c>
      <c r="AB33" s="239"/>
      <c r="AC33" s="154">
        <f>IF(AC32 = 0,
0,
IF(AC30 = (AC$6+AD$6),1,0))</f>
        <v>0</v>
      </c>
      <c r="AD33" s="154">
        <f>IF(AD32 = 0,
0,
IF(AD30 = (AC$6+AD$6),1,0))</f>
        <v>0</v>
      </c>
      <c r="AE33" s="154">
        <f>IF(AE32 = 0,
0,
IF(AE30 = (AE$6+AF$6),1,0))</f>
        <v>0</v>
      </c>
      <c r="AF33" s="154">
        <f>IF(AF32 = 0,
0,
IF(AF30 = (AE$6+AF$6),1,0))</f>
        <v>0</v>
      </c>
      <c r="AG33" s="239"/>
      <c r="AH33" s="154">
        <f>IF(AH32 = 0,
0,
IF(AH30 = (AH$6+AI$6),1,0))</f>
        <v>0</v>
      </c>
      <c r="AI33" s="154">
        <f>IF(AI32 = 0,
0,
IF(AI30 = (AH$6+AI$6),1,0))</f>
        <v>0</v>
      </c>
      <c r="AJ33" s="239"/>
      <c r="AK33" s="240">
        <f>SUM(C33:AI33)</f>
        <v>1</v>
      </c>
      <c r="AL33" s="207"/>
    </row>
    <row r="34" spans="1:38" s="27" customFormat="1" ht="12.75" customHeight="1" x14ac:dyDescent="0.2">
      <c r="A34" s="173">
        <f>RANK(AL34,$AL$10:$AL$82,)</f>
        <v>7</v>
      </c>
      <c r="B34" s="174" t="s">
        <v>75</v>
      </c>
      <c r="C34" s="184">
        <v>6</v>
      </c>
      <c r="D34" s="176"/>
      <c r="E34" s="177">
        <v>7</v>
      </c>
      <c r="F34" s="176"/>
      <c r="G34" s="178">
        <v>6</v>
      </c>
      <c r="H34" s="179"/>
      <c r="I34" s="180">
        <v>5</v>
      </c>
      <c r="J34" s="179"/>
      <c r="K34" s="185">
        <v>4</v>
      </c>
      <c r="L34" s="179"/>
      <c r="M34" s="177">
        <v>5</v>
      </c>
      <c r="N34" s="176"/>
      <c r="O34" s="180">
        <v>7</v>
      </c>
      <c r="P34" s="176"/>
      <c r="Q34" s="182"/>
      <c r="R34" s="183">
        <v>7</v>
      </c>
      <c r="S34" s="210">
        <f>SUM(C35:R35)</f>
        <v>78</v>
      </c>
      <c r="T34" s="184">
        <v>6</v>
      </c>
      <c r="U34" s="179"/>
      <c r="V34" s="180"/>
      <c r="W34" s="179">
        <v>6</v>
      </c>
      <c r="X34" s="185">
        <v>6</v>
      </c>
      <c r="Y34" s="176"/>
      <c r="Z34" s="178">
        <v>6</v>
      </c>
      <c r="AA34" s="179"/>
      <c r="AB34" s="210">
        <f>SUM(T35:AA35)</f>
        <v>37</v>
      </c>
      <c r="AC34" s="182">
        <v>6</v>
      </c>
      <c r="AD34" s="179"/>
      <c r="AE34" s="185">
        <v>7</v>
      </c>
      <c r="AF34" s="179"/>
      <c r="AG34" s="210">
        <f>SUM(AC35:AF35)</f>
        <v>4</v>
      </c>
      <c r="AH34" s="191">
        <v>7</v>
      </c>
      <c r="AI34" s="190"/>
      <c r="AJ34" s="210">
        <f>AH35</f>
        <v>24</v>
      </c>
      <c r="AK34" s="188">
        <f>MAX($AL$10:$AL$82) - AL34</f>
        <v>26</v>
      </c>
      <c r="AL34" s="210">
        <f>$S34+$AB34+$AG34+$AJ34</f>
        <v>143</v>
      </c>
    </row>
    <row r="35" spans="1:38" s="27" customFormat="1" ht="12.75" hidden="1" customHeight="1" x14ac:dyDescent="0.2">
      <c r="A35" s="149" t="e">
        <f>RANK(AL35,$AL$10:$AL$82,)</f>
        <v>#N/A</v>
      </c>
      <c r="B35" s="107"/>
      <c r="C35" s="83">
        <f>(IF($C34&lt;&gt;"",($C$6*$O$92)+IF($C$6=4,($O$90)+IF($C34=$C$6+$D$6,$O$91,0),0),0)+IF($D34&lt;&gt;"",($D$6*$O$92)+IF($D$6=4,($O$90)+IF($D34=$C$6+$D$6,$O$91,0),0),0))</f>
        <v>9</v>
      </c>
      <c r="D35" s="84"/>
      <c r="E35" s="85">
        <f>(IF($E34&lt;&gt;"",($E$6*$O$92)+IF($E$6=4,($O$90)+IF($E34=$E$6+$F$6,$O$91,0),0),0)+IF($F34&lt;&gt;"",($F$6*$O$92)+IF($F$6=4,($O$90)+IF($F34=$E$6+$F$6,$O$91,0),0),0))</f>
        <v>11</v>
      </c>
      <c r="F35" s="84"/>
      <c r="G35" s="85">
        <f>(IF($G34&lt;&gt;"",($G$6*$O$92)+IF($G$6=4,($O$90)+IF($G34=$G$6+$H$6,$O$91,0),0),0)+IF($H34&lt;&gt;"",($H$6*$O$92)+IF($H$6=4,($O$90)+IF($H34=$G$6+$H$6,$O$91,0),0),0))</f>
        <v>11</v>
      </c>
      <c r="H35" s="84"/>
      <c r="I35" s="85">
        <f>(IF($I34&lt;&gt;"",($I$6*$O$92)+IF($I$6=4,($O$90)+IF($I34=$I$6+$J$6,$O$91,0),0),0)+IF($J34&lt;&gt;"",($J$6*$O$92)+IF($J$6=4,($O$90)+IF($J34=$I$6+$J$6,$O$91,0),0),0))</f>
        <v>9</v>
      </c>
      <c r="J35" s="86"/>
      <c r="K35" s="87">
        <f>(IF($K34&lt;&gt;"",($K$6*$O$92)+IF($K$6=4,($O$90)+IF($K34=$K$6+$L$6,$O$91,0),0),0)+IF($L34&lt;&gt;"",($L$6*$O$92)+IF($L$6=4,($O$90)+IF($L34=$K$6+$L$6,$O$91,0),0),0))</f>
        <v>9</v>
      </c>
      <c r="L35" s="84"/>
      <c r="M35" s="85">
        <f>(IF($M34&lt;&gt;"",($M$6*$O$92)+IF($M$6=4,($O$90)+IF($M34=$M$6+$N$6,$O$91,0),0),0)+IF($N34&lt;&gt;"",($N$6*$O$92)+IF($N$6=4,($O$90)+IF($N34=$M$6+$N$6,$O$91,0),0),0))</f>
        <v>11</v>
      </c>
      <c r="N35" s="84"/>
      <c r="O35" s="85">
        <f>(IF($O34&lt;&gt;"",($O$6*$O$92)+IF($O$6=4,($O$90)+IF($O34=$O$6+$P$6,$O$91,0),0),0)+IF($P34&lt;&gt;"",($P$6*$O$92)+IF($P$6=4,($O$90)+IF($P34=$O$6+$P$6,$O$91,0),0),0))</f>
        <v>9</v>
      </c>
      <c r="P35" s="84"/>
      <c r="Q35" s="85">
        <f>(IF($Q34&lt;&gt;"",($Q$6*$O$92)+IF($Q$6=4,($O$90)+IF($Q34=$Q$6+$R$6,$O$91,0),0),0)+IF($R34&lt;&gt;"",($R$6*$O$92)+IF($R$6=4,($O$90)+IF($R34=$Q$6+$R$6,$O$91,0),0),0))</f>
        <v>9</v>
      </c>
      <c r="R35" s="88"/>
      <c r="S35" s="205"/>
      <c r="T35" s="60">
        <f>(IF($T34&lt;&gt;"",($T$6*$P$92)+IF($T$6=4,($P$90)+IF($T34=$T$6+$U$6,$P$91,0),0),0)+IF($U34&lt;&gt;"",($U$6*$P$92)+IF($U$6=4,($P$90)+IF($U34=$T$6+$U$6,$P$91,0),0),0))</f>
        <v>14</v>
      </c>
      <c r="U35" s="61"/>
      <c r="V35" s="62">
        <f>(IF($V34&lt;&gt;"",($V$6*$P$92)+IF($V$6=4,($P$90)+IF($V34=$V$6+$W$6,$P$91,0),0),0)+IF($W34&lt;&gt;"",($W$6*$P$92)+IF($W$6=4,($P$90)+IF($W34=$V$6+$W$6,$P$91,0),0),0))</f>
        <v>2</v>
      </c>
      <c r="W35" s="63"/>
      <c r="X35" s="64">
        <f>(IF($X34&lt;&gt;"",($X$6*$P$92)+IF($X$6=4,($P$90)+IF($X34=$X$6+$Y$6,$P$91,0),0),0)+IF($Y34&lt;&gt;"",($Y$6*$P$92)+IF($Y$6=4,($P$90)+IF($Y34=$X$6+$Y$6,$P$91,0),0),0))</f>
        <v>3</v>
      </c>
      <c r="Y35" s="61"/>
      <c r="Z35" s="62">
        <f>(IF($Z34&lt;&gt;"",($Z$6*$P$92)+IF($Z$6=4,($P$90)+IF($Z34=$Z$6+$AA$6,$P$91,0),0),0)+IF($AA34&lt;&gt;"",($AA$6*$P$92)+IF($AA$6=4,($P$90)+IF($AA34=$Z$6+$AA$6,$P$91,0),0),0))</f>
        <v>18</v>
      </c>
      <c r="AA35" s="94"/>
      <c r="AB35" s="205"/>
      <c r="AC35" s="94">
        <f>(IF($AC34&lt;&gt;"",($AC$6*$Q$92)+IF($AC$6=4,($Q$90)+IF($AC34=$AC$6+$AD$6,$Q$91,0),0),0)+IF($AD34&lt;&gt;"",($AD$6*$Q$92)+IF($AD$6=4,($Q$90)+IF($AD34=$AC$6+$AD$6,$Q$91,0),0),0))</f>
        <v>3</v>
      </c>
      <c r="AD35" s="63"/>
      <c r="AE35" s="64">
        <f>(IF($AE34&lt;&gt;"",($AE$6*$Q$92)+IF($AE$6=4,($Q$90)+IF($AE34=$AE$6+$AF$6,$Q$91,0),0),0)+IF($AF34&lt;&gt;"",($AF$6*$Q$92)+IF($AF$6=4,($Q$90)+IF($AF34=$AE$6+$AF$6,$Q$91,0),0),0))</f>
        <v>1</v>
      </c>
      <c r="AF35" s="94"/>
      <c r="AG35" s="205"/>
      <c r="AH35" s="94">
        <f>(IF($AH34&lt;&gt;"",($AH$6*$R$92)+IF($AH$6=4,($R$90)+IF($AH34=$AH$6+$AI$6,$R$91,0),0),0)+IF($AI34&lt;&gt;"",($AI$6*$R$92)+IF($AI$6=4,($R$90)+IF($AI34=$AH$6+$AI$6,$R$91,0),0),0))</f>
        <v>24</v>
      </c>
      <c r="AI35" s="65"/>
      <c r="AJ35" s="205"/>
      <c r="AK35" s="101">
        <f>MAX($AL$10:$AL$82) - AL35</f>
        <v>169</v>
      </c>
      <c r="AL35" s="205"/>
    </row>
    <row r="36" spans="1:38" s="27" customFormat="1" hidden="1" x14ac:dyDescent="0.2">
      <c r="A36" s="108"/>
      <c r="B36" s="220" t="s">
        <v>78</v>
      </c>
      <c r="C36" s="154">
        <f>IF(ISBLANK(C34),
0,
IF(C$6= 4, 1, 0))</f>
        <v>1</v>
      </c>
      <c r="D36" s="154">
        <f>IF(ISBLANK(D34),
0,
IF(D$6 = 4, 1, 0))</f>
        <v>0</v>
      </c>
      <c r="E36" s="154">
        <f>IF(ISBLANK(E34),
0,
IF(E$6= 4, 1, 0))</f>
        <v>1</v>
      </c>
      <c r="F36" s="154">
        <f>IF(ISBLANK(F34),
0,
IF(F$6 = 4, 1, 0))</f>
        <v>0</v>
      </c>
      <c r="G36" s="154">
        <f>IF(ISBLANK(G34),
0,
IF(G$6= 4, 1, 0))</f>
        <v>1</v>
      </c>
      <c r="H36" s="154">
        <f>IF(ISBLANK(H34),
0,
IF(H$6 = 4, 1, 0))</f>
        <v>0</v>
      </c>
      <c r="I36" s="154">
        <f>IF(ISBLANK(I34),
0,
IF(I$6= 4, 1, 0))</f>
        <v>1</v>
      </c>
      <c r="J36" s="154">
        <f>IF(ISBLANK(J34),
0,
IF(J$6 = 4, 1, 0))</f>
        <v>0</v>
      </c>
      <c r="K36" s="154">
        <f>IF(ISBLANK(K34),
0,
IF(K$6= 4, 1, 0))</f>
        <v>1</v>
      </c>
      <c r="L36" s="154">
        <f>IF(ISBLANK(L34),
0,
IF(L$6 = 4, 1, 0))</f>
        <v>0</v>
      </c>
      <c r="M36" s="154">
        <f>IF(ISBLANK(M34),
0,
IF(M$6= 4, 1, 0))</f>
        <v>1</v>
      </c>
      <c r="N36" s="154">
        <f>IF(ISBLANK(N34),
0,
IF(N$6 = 4, 1, 0))</f>
        <v>0</v>
      </c>
      <c r="O36" s="154">
        <f>IF(ISBLANK(O34),
0,
IF(O$6= 4, 1, 0))</f>
        <v>1</v>
      </c>
      <c r="P36" s="154">
        <f>IF(ISBLANK(P34),
0,
IF(P$6 = 4, 1, 0))</f>
        <v>0</v>
      </c>
      <c r="Q36" s="154">
        <f>IF(ISBLANK(Q34),
0,
IF(Q$6= 4, 1, 0))</f>
        <v>0</v>
      </c>
      <c r="R36" s="154">
        <f>IF(ISBLANK(R34),
0,
IF(R$6 = 4, 1, 0))</f>
        <v>1</v>
      </c>
      <c r="S36" s="239"/>
      <c r="T36" s="154">
        <f>IF(ISBLANK(T34),
0,
IF(T$6= 4, 1, 0))</f>
        <v>1</v>
      </c>
      <c r="U36" s="154">
        <f>IF(ISBLANK(U34),
0,
IF(U$6 = 4, 1, 0))</f>
        <v>0</v>
      </c>
      <c r="V36" s="154">
        <f>IF(ISBLANK(V34),
0,
IF(V$6= 4, 1, 0))</f>
        <v>0</v>
      </c>
      <c r="W36" s="154">
        <f>IF(ISBLANK(W34),
0,
IF(W$6 = 4, 1, 0))</f>
        <v>0</v>
      </c>
      <c r="X36" s="154">
        <f>IF(ISBLANK(X34),
0,
IF(X$6= 4, 1, 0))</f>
        <v>0</v>
      </c>
      <c r="Y36" s="154">
        <f>IF(ISBLANK(Y34),
0,
IF(Y$6 = 4, 1, 0))</f>
        <v>0</v>
      </c>
      <c r="Z36" s="154">
        <f>IF(ISBLANK(Z34),
0,
IF(Z$6= 4, 1, 0))</f>
        <v>1</v>
      </c>
      <c r="AA36" s="154">
        <f>IF(ISBLANK(AA34),
0,
IF(AA$6 = 4, 1, 0))</f>
        <v>0</v>
      </c>
      <c r="AB36" s="239"/>
      <c r="AC36" s="154">
        <f>IF(ISBLANK(AC34),
0,
IF(AC$6= 4, 1, 0))</f>
        <v>0</v>
      </c>
      <c r="AD36" s="154">
        <f>IF(ISBLANK(AD34),
0,
IF(AD$6 = 4, 1, 0))</f>
        <v>0</v>
      </c>
      <c r="AE36" s="154">
        <f>IF(ISBLANK(AE34),
0,
IF(AE$6= 4, 1, 0))</f>
        <v>0</v>
      </c>
      <c r="AF36" s="154">
        <f>IF(ISBLANK(AF34),
0,
IF(AF$6 = 4, 1, 0))</f>
        <v>0</v>
      </c>
      <c r="AG36" s="239"/>
      <c r="AH36" s="154">
        <f>IF(ISBLANK(AH34),
0,
IF(AH$6= 4, 1, 0))</f>
        <v>1</v>
      </c>
      <c r="AI36" s="154">
        <f>IF(ISBLANK(AI34),
0,
IF(AI$6 = 4, 1, 0))</f>
        <v>0</v>
      </c>
      <c r="AJ36" s="239"/>
      <c r="AK36" s="240">
        <f>SUM(C36:AI36)</f>
        <v>11</v>
      </c>
      <c r="AL36" s="207"/>
    </row>
    <row r="37" spans="1:38" s="27" customFormat="1" hidden="1" x14ac:dyDescent="0.2">
      <c r="A37" s="108"/>
      <c r="B37" s="220" t="s">
        <v>79</v>
      </c>
      <c r="C37" s="154">
        <f>IF(C36 = 0,
0,
IF(C34 = (C$6+D$6),1,0))</f>
        <v>0</v>
      </c>
      <c r="D37" s="154">
        <f>IF(D36 = 0,
0,
IF(D34 = (C$6+D$6),1,0))</f>
        <v>0</v>
      </c>
      <c r="E37" s="154">
        <f>IF(E36 = 0,
0,
IF(E34 = (E$6+F$6),1,0))</f>
        <v>1</v>
      </c>
      <c r="F37" s="154">
        <f>IF(F36 = 0,
0,
IF(F34 = (E$6+F$6),1,0))</f>
        <v>0</v>
      </c>
      <c r="G37" s="154">
        <f>IF(G36 = 0,
0,
IF(G34 = (G$6+H$6),1,0))</f>
        <v>1</v>
      </c>
      <c r="H37" s="154">
        <f>IF(H36 = 0,
0,
IF(H34 = (G$6+H$6),1,0))</f>
        <v>0</v>
      </c>
      <c r="I37" s="154">
        <f>IF(I36 = 0,
0,
IF(I34 = (I$6+J$6),1,0))</f>
        <v>0</v>
      </c>
      <c r="J37" s="154">
        <f>IF(J36 = 0,
0,
IF(J34 = (I$6+J$6),1,0))</f>
        <v>0</v>
      </c>
      <c r="K37" s="154">
        <f>IF(K36 = 0,
0,
IF(K34 = (K$6+L$6),1,0))</f>
        <v>0</v>
      </c>
      <c r="L37" s="154">
        <f>IF(L36 = 0,
0,
IF(L34 = (K$6+L$6),1,0))</f>
        <v>0</v>
      </c>
      <c r="M37" s="154">
        <f>IF(M36 = 0,
0,
IF(M34 = (M$6+N$6),1,0))</f>
        <v>1</v>
      </c>
      <c r="N37" s="154">
        <f>IF(N36 = 0,
0,
IF(N34 = (M$6+N$6),1,0))</f>
        <v>0</v>
      </c>
      <c r="O37" s="154">
        <f>IF(O36 = 0,
0,
IF(O34 = (O$6+P$6),1,0))</f>
        <v>0</v>
      </c>
      <c r="P37" s="154">
        <f>IF(P36 = 0,
0,
IF(P34 = (O$6+P$6),1,0))</f>
        <v>0</v>
      </c>
      <c r="Q37" s="154">
        <f>IF(Q36 = 0,
0,
IF(Q34 = (Q$6+R$6),1,0))</f>
        <v>0</v>
      </c>
      <c r="R37" s="154">
        <f>IF(R36 = 0,
0,
IF(R34 = (Q$6+R$6),1,0))</f>
        <v>0</v>
      </c>
      <c r="S37" s="239"/>
      <c r="T37" s="154">
        <f>IF(T36 = 0,
0,
IF(T34 = (T$6+U$6),1,0))</f>
        <v>0</v>
      </c>
      <c r="U37" s="154">
        <f>IF(U36 = 0,
0,
IF(U34 = (T$6+U$6),1,0))</f>
        <v>0</v>
      </c>
      <c r="V37" s="154">
        <f>IF(V36 = 0,
0,
IF(V34 = (V$6+W$6),1,0))</f>
        <v>0</v>
      </c>
      <c r="W37" s="154">
        <f>IF(W36 = 0,
0,
IF(W34 = (V$6+W$6),1,0))</f>
        <v>0</v>
      </c>
      <c r="X37" s="154">
        <f>IF(X36 = 0,
0,
IF(X34 = (X$6+Y$6),1,0))</f>
        <v>0</v>
      </c>
      <c r="Y37" s="154">
        <f>IF(Y36 = 0,
0,
IF(Y34 = (X$6+Y$6),1,0))</f>
        <v>0</v>
      </c>
      <c r="Z37" s="154">
        <f>IF(Z36 = 0,
0,
IF(Z34 = (Z$6+AA$6),1,0))</f>
        <v>1</v>
      </c>
      <c r="AA37" s="154">
        <f>IF(AA36 = 0,
0,
IF(AA34 = (Z$6+AA$6),1,0))</f>
        <v>0</v>
      </c>
      <c r="AB37" s="239"/>
      <c r="AC37" s="154">
        <f>IF(AC36 = 0,
0,
IF(AC34 = (AC$6+AD$6),1,0))</f>
        <v>0</v>
      </c>
      <c r="AD37" s="154">
        <f>IF(AD36 = 0,
0,
IF(AD34 = (AC$6+AD$6),1,0))</f>
        <v>0</v>
      </c>
      <c r="AE37" s="154">
        <f>IF(AE36 = 0,
0,
IF(AE34 = (AE$6+AF$6),1,0))</f>
        <v>0</v>
      </c>
      <c r="AF37" s="154">
        <f>IF(AF36 = 0,
0,
IF(AF34 = (AE$6+AF$6),1,0))</f>
        <v>0</v>
      </c>
      <c r="AG37" s="239"/>
      <c r="AH37" s="154">
        <f>IF(AH36 = 0,
0,
IF(AH34 = (AH$6+AI$6),1,0))</f>
        <v>0</v>
      </c>
      <c r="AI37" s="154">
        <f>IF(AI36 = 0,
0,
IF(AI34 = (AH$6+AI$6),1,0))</f>
        <v>0</v>
      </c>
      <c r="AJ37" s="239"/>
      <c r="AK37" s="240">
        <f>SUM(C37:AI37)</f>
        <v>4</v>
      </c>
      <c r="AL37" s="207"/>
    </row>
    <row r="38" spans="1:38" s="27" customFormat="1" ht="12.75" customHeight="1" x14ac:dyDescent="0.2">
      <c r="A38" s="149">
        <f>RANK(AL38,$AL$10:$AL$82,)</f>
        <v>8</v>
      </c>
      <c r="B38" s="93" t="s">
        <v>64</v>
      </c>
      <c r="C38" s="153">
        <v>5</v>
      </c>
      <c r="D38" s="46"/>
      <c r="E38" s="45"/>
      <c r="F38" s="46">
        <v>6</v>
      </c>
      <c r="G38" s="49"/>
      <c r="H38" s="48">
        <v>6</v>
      </c>
      <c r="I38" s="156">
        <v>6</v>
      </c>
      <c r="J38" s="48"/>
      <c r="K38" s="50">
        <v>5</v>
      </c>
      <c r="L38" s="48"/>
      <c r="M38" s="45">
        <v>6</v>
      </c>
      <c r="N38" s="46"/>
      <c r="O38" s="45"/>
      <c r="P38" s="46">
        <v>6</v>
      </c>
      <c r="Q38" s="49">
        <v>7</v>
      </c>
      <c r="R38" s="51"/>
      <c r="S38" s="206">
        <f>SUM(C39:R39)</f>
        <v>45</v>
      </c>
      <c r="T38" s="47">
        <v>7</v>
      </c>
      <c r="U38" s="48"/>
      <c r="V38" s="45"/>
      <c r="W38" s="48">
        <v>6</v>
      </c>
      <c r="X38" s="50"/>
      <c r="Y38" s="46">
        <v>6</v>
      </c>
      <c r="Z38" s="49">
        <v>5</v>
      </c>
      <c r="AA38" s="48"/>
      <c r="AB38" s="206">
        <f>SUM(T39:AA39)</f>
        <v>44</v>
      </c>
      <c r="AC38" s="49"/>
      <c r="AD38" s="48">
        <v>6</v>
      </c>
      <c r="AE38" s="50">
        <v>6</v>
      </c>
      <c r="AF38" s="48"/>
      <c r="AG38" s="206">
        <f>SUM(AC39:AF39)</f>
        <v>20</v>
      </c>
      <c r="AH38" s="218">
        <v>5</v>
      </c>
      <c r="AI38" s="58"/>
      <c r="AJ38" s="206">
        <f>AH39</f>
        <v>32</v>
      </c>
      <c r="AK38" s="134">
        <f>MAX($AL$10:$AL$82) - AL38</f>
        <v>28</v>
      </c>
      <c r="AL38" s="206">
        <f>$S38+$AB38+$AG38+$AJ38</f>
        <v>141</v>
      </c>
    </row>
    <row r="39" spans="1:38" s="27" customFormat="1" ht="12.75" hidden="1" customHeight="1" x14ac:dyDescent="0.2">
      <c r="A39" s="149" t="e">
        <f>RANK(AL39,$AL$10:$AL$82,)</f>
        <v>#N/A</v>
      </c>
      <c r="B39" s="107"/>
      <c r="C39" s="154">
        <f>(IF($C38&lt;&gt;"",($C$6*$O$92)+IF($C$6=4,($O$90)+IF($C38=$C$6+$D$6,$O$91,0),0),0)+IF($D38&lt;&gt;"",($D$6*$O$92)+IF($D$6=4,($O$90)+IF($D38=$C$6+$D$6,$O$91,0),0),0))</f>
        <v>11</v>
      </c>
      <c r="D39" s="84"/>
      <c r="E39" s="148">
        <f>(IF($E38&lt;&gt;"",($E$6*$O$92)+IF($E$6=4,($O$90)+IF($E38=$E$6+$F$6,$O$91,0),0),0)+IF($F38&lt;&gt;"",($F$6*$O$92)+IF($F$6=4,($O$90)+IF($F38=$E$6+$F$6,$O$91,0),0),0))</f>
        <v>3</v>
      </c>
      <c r="F39" s="84"/>
      <c r="G39" s="155">
        <f>(IF($G38&lt;&gt;"",($G$6*$O$92)+IF($G$6=4,($O$90)+IF($G38=$G$6+$H$6,$O$91,0),0),0)+IF($H38&lt;&gt;"",($H$6*$O$92)+IF($H$6=4,($O$90)+IF($H38=$G$6+$H$6,$O$91,0),0),0))</f>
        <v>2</v>
      </c>
      <c r="H39" s="84"/>
      <c r="I39" s="148">
        <f>(IF($I38&lt;&gt;"",($I$6*$O$92)+IF($I$6=4,($O$90)+IF($I38=$I$6+$J$6,$O$91,0),0),0)+IF($J38&lt;&gt;"",($J$6*$O$92)+IF($J$6=4,($O$90)+IF($J38=$I$6+$J$6,$O$91,0),0),0))</f>
        <v>11</v>
      </c>
      <c r="J39" s="86"/>
      <c r="K39" s="87">
        <f>(IF($K38&lt;&gt;"",($K$6*$O$92)+IF($K$6=4,($O$90)+IF($K38=$K$6+$L$6,$O$91,0),0),0)+IF($L38&lt;&gt;"",($L$6*$O$92)+IF($L$6=4,($O$90)+IF($L38=$K$6+$L$6,$O$91,0),0),0))</f>
        <v>9</v>
      </c>
      <c r="L39" s="84"/>
      <c r="M39" s="85">
        <f>(IF($M38&lt;&gt;"",($M$6*$O$92)+IF($M$6=4,($O$90)+IF($M38=$M$6+$N$6,$O$91,0),0),0)+IF($N38&lt;&gt;"",($N$6*$O$92)+IF($N$6=4,($O$90)+IF($N38=$M$6+$N$6,$O$91,0),0),0))</f>
        <v>9</v>
      </c>
      <c r="N39" s="84"/>
      <c r="O39" s="85">
        <f>(IF($O38&lt;&gt;"",($O$6*$O$92)+IF($O$6=4,($O$90)+IF($O38=$O$6+$P$6,$O$91,0),0),0)+IF($P38&lt;&gt;"",($P$6*$O$92)+IF($P$6=4,($O$90)+IF($P38=$O$6+$P$6,$O$91,0),0),0))</f>
        <v>0</v>
      </c>
      <c r="P39" s="84"/>
      <c r="Q39" s="85">
        <f>(IF($Q38&lt;&gt;"",($Q$6*$O$92)+IF($Q$6=4,($O$90)+IF($Q38=$Q$6+$R$6,$O$91,0),0),0)+IF($R38&lt;&gt;"",($R$6*$O$92)+IF($R$6=4,($O$90)+IF($R38=$Q$6+$R$6,$O$91,0),0),0))</f>
        <v>0</v>
      </c>
      <c r="R39" s="88"/>
      <c r="S39" s="205"/>
      <c r="T39" s="60">
        <f>(IF($T38&lt;&gt;"",($T$6*$P$92)+IF($T$6=4,($P$90)+IF($T38=$T$6+$U$6,$P$91,0),0),0)+IF($U38&lt;&gt;"",($U$6*$P$92)+IF($U$6=4,($P$90)+IF($U38=$T$6+$U$6,$P$91,0),0),0))</f>
        <v>14</v>
      </c>
      <c r="U39" s="61"/>
      <c r="V39" s="62">
        <f>(IF($V38&lt;&gt;"",($V$6*$P$92)+IF($V$6=4,($P$90)+IF($V38=$V$6+$W$6,$P$91,0),0),0)+IF($W38&lt;&gt;"",($W$6*$P$92)+IF($W$6=4,($P$90)+IF($W38=$V$6+$W$6,$P$91,0),0),0))</f>
        <v>2</v>
      </c>
      <c r="W39" s="63"/>
      <c r="X39" s="64">
        <f>(IF($X38&lt;&gt;"",($X$6*$P$92)+IF($X$6=4,($P$90)+IF($X38=$X$6+$Y$6,$P$91,0),0),0)+IF($Y38&lt;&gt;"",($Y$6*$P$92)+IF($Y$6=4,($P$90)+IF($Y38=$X$6+$Y$6,$P$91,0),0),0))</f>
        <v>14</v>
      </c>
      <c r="Y39" s="61"/>
      <c r="Z39" s="62">
        <f>(IF($Z38&lt;&gt;"",($Z$6*$P$92)+IF($Z$6=4,($P$90)+IF($Z38=$Z$6+$AA$6,$P$91,0),0),0)+IF($AA38&lt;&gt;"",($AA$6*$P$92)+IF($AA$6=4,($P$90)+IF($AA38=$Z$6+$AA$6,$P$91,0),0),0))</f>
        <v>14</v>
      </c>
      <c r="AA39" s="94"/>
      <c r="AB39" s="205"/>
      <c r="AC39" s="94">
        <f>(IF($AC38&lt;&gt;"",($AC$6*$Q$92)+IF($AC$6=4,($Q$90)+IF($AC38=$AC$6+$AD$6,$Q$91,0),0),0)+IF($AD38&lt;&gt;"",($AD$6*$Q$92)+IF($AD$6=4,($Q$90)+IF($AD38=$AC$6+$AD$6,$Q$91,0),0),0))</f>
        <v>19</v>
      </c>
      <c r="AD39" s="63"/>
      <c r="AE39" s="64">
        <f>(IF($AE38&lt;&gt;"",($AE$6*$Q$92)+IF($AE$6=4,($Q$90)+IF($AE38=$AE$6+$AF$6,$Q$91,0),0),0)+IF($AF38&lt;&gt;"",($AF$6*$Q$92)+IF($AF$6=4,($Q$90)+IF($AF38=$AE$6+$AF$6,$Q$91,0),0),0))</f>
        <v>1</v>
      </c>
      <c r="AF39" s="94"/>
      <c r="AG39" s="205"/>
      <c r="AH39" s="94">
        <f>(IF($AH38&lt;&gt;"",($AH$6*$R$92)+IF($AH$6=4,($R$90)+IF($AH38=$AH$6+$AI$6,$R$91,0),0),0)+IF($AI38&lt;&gt;"",($AI$6*$R$92)+IF($AI$6=4,($R$90)+IF($AI38=$AH$6+$AI$6,$R$91,0),0),0))</f>
        <v>32</v>
      </c>
      <c r="AI39" s="65"/>
      <c r="AJ39" s="205"/>
      <c r="AK39" s="101">
        <f>MAX($AL$10:$AL$82) - AL39</f>
        <v>169</v>
      </c>
      <c r="AL39" s="205"/>
    </row>
    <row r="40" spans="1:38" s="27" customFormat="1" hidden="1" x14ac:dyDescent="0.2">
      <c r="A40" s="108"/>
      <c r="B40" s="220" t="s">
        <v>78</v>
      </c>
      <c r="C40" s="154">
        <f>IF(ISBLANK(C38),
0,
IF(C$6= 4, 1, 0))</f>
        <v>1</v>
      </c>
      <c r="D40" s="154">
        <f>IF(ISBLANK(D38),
0,
IF(D$6 = 4, 1, 0))</f>
        <v>0</v>
      </c>
      <c r="E40" s="154">
        <f>IF(ISBLANK(E38),
0,
IF(E$6= 4, 1, 0))</f>
        <v>0</v>
      </c>
      <c r="F40" s="154">
        <f>IF(ISBLANK(F38),
0,
IF(F$6 = 4, 1, 0))</f>
        <v>0</v>
      </c>
      <c r="G40" s="154">
        <f>IF(ISBLANK(G38),
0,
IF(G$6= 4, 1, 0))</f>
        <v>0</v>
      </c>
      <c r="H40" s="154">
        <f>IF(ISBLANK(H38),
0,
IF(H$6 = 4, 1, 0))</f>
        <v>0</v>
      </c>
      <c r="I40" s="154">
        <f>IF(ISBLANK(I38),
0,
IF(I$6= 4, 1, 0))</f>
        <v>1</v>
      </c>
      <c r="J40" s="154">
        <f>IF(ISBLANK(J38),
0,
IF(J$6 = 4, 1, 0))</f>
        <v>0</v>
      </c>
      <c r="K40" s="154">
        <f>IF(ISBLANK(K38),
0,
IF(K$6= 4, 1, 0))</f>
        <v>1</v>
      </c>
      <c r="L40" s="154">
        <f>IF(ISBLANK(L38),
0,
IF(L$6 = 4, 1, 0))</f>
        <v>0</v>
      </c>
      <c r="M40" s="154">
        <f>IF(ISBLANK(M38),
0,
IF(M$6= 4, 1, 0))</f>
        <v>1</v>
      </c>
      <c r="N40" s="154">
        <f>IF(ISBLANK(N38),
0,
IF(N$6 = 4, 1, 0))</f>
        <v>0</v>
      </c>
      <c r="O40" s="154">
        <f>IF(ISBLANK(O38),
0,
IF(O$6= 4, 1, 0))</f>
        <v>0</v>
      </c>
      <c r="P40" s="154">
        <f>IF(ISBLANK(P38),
0,
IF(P$6 = 4, 1, 0))</f>
        <v>0</v>
      </c>
      <c r="Q40" s="154">
        <f>IF(ISBLANK(Q38),
0,
IF(Q$6= 4, 1, 0))</f>
        <v>0</v>
      </c>
      <c r="R40" s="154">
        <f>IF(ISBLANK(R38),
0,
IF(R$6 = 4, 1, 0))</f>
        <v>0</v>
      </c>
      <c r="S40" s="239"/>
      <c r="T40" s="154">
        <f>IF(ISBLANK(T38),
0,
IF(T$6= 4, 1, 0))</f>
        <v>1</v>
      </c>
      <c r="U40" s="154">
        <f>IF(ISBLANK(U38),
0,
IF(U$6 = 4, 1, 0))</f>
        <v>0</v>
      </c>
      <c r="V40" s="154">
        <f>IF(ISBLANK(V38),
0,
IF(V$6= 4, 1, 0))</f>
        <v>0</v>
      </c>
      <c r="W40" s="154">
        <f>IF(ISBLANK(W38),
0,
IF(W$6 = 4, 1, 0))</f>
        <v>0</v>
      </c>
      <c r="X40" s="154">
        <f>IF(ISBLANK(X38),
0,
IF(X$6= 4, 1, 0))</f>
        <v>0</v>
      </c>
      <c r="Y40" s="154">
        <f>IF(ISBLANK(Y38),
0,
IF(Y$6 = 4, 1, 0))</f>
        <v>1</v>
      </c>
      <c r="Z40" s="154">
        <f>IF(ISBLANK(Z38),
0,
IF(Z$6= 4, 1, 0))</f>
        <v>1</v>
      </c>
      <c r="AA40" s="154">
        <f>IF(ISBLANK(AA38),
0,
IF(AA$6 = 4, 1, 0))</f>
        <v>0</v>
      </c>
      <c r="AB40" s="239"/>
      <c r="AC40" s="154">
        <f>IF(ISBLANK(AC38),
0,
IF(AC$6= 4, 1, 0))</f>
        <v>0</v>
      </c>
      <c r="AD40" s="154">
        <f>IF(ISBLANK(AD38),
0,
IF(AD$6 = 4, 1, 0))</f>
        <v>1</v>
      </c>
      <c r="AE40" s="154">
        <f>IF(ISBLANK(AE38),
0,
IF(AE$6= 4, 1, 0))</f>
        <v>0</v>
      </c>
      <c r="AF40" s="154">
        <f>IF(ISBLANK(AF38),
0,
IF(AF$6 = 4, 1, 0))</f>
        <v>0</v>
      </c>
      <c r="AG40" s="239"/>
      <c r="AH40" s="154">
        <f>IF(ISBLANK(AH38),
0,
IF(AH$6= 4, 1, 0))</f>
        <v>1</v>
      </c>
      <c r="AI40" s="154">
        <f>IF(ISBLANK(AI38),
0,
IF(AI$6 = 4, 1, 0))</f>
        <v>0</v>
      </c>
      <c r="AJ40" s="239"/>
      <c r="AK40" s="240">
        <f>SUM(C40:AI40)</f>
        <v>9</v>
      </c>
      <c r="AL40" s="207"/>
    </row>
    <row r="41" spans="1:38" s="27" customFormat="1" hidden="1" x14ac:dyDescent="0.2">
      <c r="A41" s="108"/>
      <c r="B41" s="220" t="s">
        <v>79</v>
      </c>
      <c r="C41" s="154">
        <f>IF(C40 = 0,
0,
IF(C38 = (C$6+D$6),1,0))</f>
        <v>1</v>
      </c>
      <c r="D41" s="154">
        <f>IF(D40 = 0,
0,
IF(D38 = (C$6+D$6),1,0))</f>
        <v>0</v>
      </c>
      <c r="E41" s="154">
        <f>IF(E40 = 0,
0,
IF(E38 = (E$6+F$6),1,0))</f>
        <v>0</v>
      </c>
      <c r="F41" s="154">
        <f>IF(F40 = 0,
0,
IF(F38 = (E$6+F$6),1,0))</f>
        <v>0</v>
      </c>
      <c r="G41" s="154">
        <f>IF(G40 = 0,
0,
IF(G38 = (G$6+H$6),1,0))</f>
        <v>0</v>
      </c>
      <c r="H41" s="154">
        <f>IF(H40 = 0,
0,
IF(H38 = (G$6+H$6),1,0))</f>
        <v>0</v>
      </c>
      <c r="I41" s="154">
        <f>IF(I40 = 0,
0,
IF(I38 = (I$6+J$6),1,0))</f>
        <v>1</v>
      </c>
      <c r="J41" s="154">
        <f>IF(J40 = 0,
0,
IF(J38 = (I$6+J$6),1,0))</f>
        <v>0</v>
      </c>
      <c r="K41" s="154">
        <f>IF(K40 = 0,
0,
IF(K38 = (K$6+L$6),1,0))</f>
        <v>0</v>
      </c>
      <c r="L41" s="154">
        <f>IF(L40 = 0,
0,
IF(L38 = (K$6+L$6),1,0))</f>
        <v>0</v>
      </c>
      <c r="M41" s="154">
        <f>IF(M40 = 0,
0,
IF(M38 = (M$6+N$6),1,0))</f>
        <v>0</v>
      </c>
      <c r="N41" s="154">
        <f>IF(N40 = 0,
0,
IF(N38 = (M$6+N$6),1,0))</f>
        <v>0</v>
      </c>
      <c r="O41" s="154">
        <f>IF(O40 = 0,
0,
IF(O38 = (O$6+P$6),1,0))</f>
        <v>0</v>
      </c>
      <c r="P41" s="154">
        <f>IF(P40 = 0,
0,
IF(P38 = (O$6+P$6),1,0))</f>
        <v>0</v>
      </c>
      <c r="Q41" s="154">
        <f>IF(Q40 = 0,
0,
IF(Q38 = (Q$6+R$6),1,0))</f>
        <v>0</v>
      </c>
      <c r="R41" s="154">
        <f>IF(R40 = 0,
0,
IF(R38 = (Q$6+R$6),1,0))</f>
        <v>0</v>
      </c>
      <c r="S41" s="239"/>
      <c r="T41" s="154">
        <f>IF(T40 = 0,
0,
IF(T38 = (T$6+U$6),1,0))</f>
        <v>0</v>
      </c>
      <c r="U41" s="154">
        <f>IF(U40 = 0,
0,
IF(U38 = (T$6+U$6),1,0))</f>
        <v>0</v>
      </c>
      <c r="V41" s="154">
        <f>IF(V40 = 0,
0,
IF(V38 = (V$6+W$6),1,0))</f>
        <v>0</v>
      </c>
      <c r="W41" s="154">
        <f>IF(W40 = 0,
0,
IF(W38 = (V$6+W$6),1,0))</f>
        <v>0</v>
      </c>
      <c r="X41" s="154">
        <f>IF(X40 = 0,
0,
IF(X38 = (X$6+Y$6),1,0))</f>
        <v>0</v>
      </c>
      <c r="Y41" s="154">
        <f>IF(Y40 = 0,
0,
IF(Y38 = (X$6+Y$6),1,0))</f>
        <v>0</v>
      </c>
      <c r="Z41" s="154">
        <f>IF(Z40 = 0,
0,
IF(Z38 = (Z$6+AA$6),1,0))</f>
        <v>0</v>
      </c>
      <c r="AA41" s="154">
        <f>IF(AA40 = 0,
0,
IF(AA38 = (Z$6+AA$6),1,0))</f>
        <v>0</v>
      </c>
      <c r="AB41" s="239"/>
      <c r="AC41" s="154">
        <f>IF(AC40 = 0,
0,
IF(AC38 = (AC$6+AD$6),1,0))</f>
        <v>0</v>
      </c>
      <c r="AD41" s="154">
        <f>IF(AD40 = 0,
0,
IF(AD38 = (AC$6+AD$6),1,0))</f>
        <v>0</v>
      </c>
      <c r="AE41" s="154">
        <f>IF(AE40 = 0,
0,
IF(AE38 = (AE$6+AF$6),1,0))</f>
        <v>0</v>
      </c>
      <c r="AF41" s="154">
        <f>IF(AF40 = 0,
0,
IF(AF38 = (AE$6+AF$6),1,0))</f>
        <v>0</v>
      </c>
      <c r="AG41" s="239"/>
      <c r="AH41" s="154">
        <f>IF(AH40 = 0,
0,
IF(AH38 = (AH$6+AI$6),1,0))</f>
        <v>1</v>
      </c>
      <c r="AI41" s="154">
        <f>IF(AI40 = 0,
0,
IF(AI38 = (AH$6+AI$6),1,0))</f>
        <v>0</v>
      </c>
      <c r="AJ41" s="239"/>
      <c r="AK41" s="240">
        <f>SUM(C41:AI41)</f>
        <v>3</v>
      </c>
      <c r="AL41" s="207"/>
    </row>
    <row r="42" spans="1:38" s="27" customFormat="1" ht="12.75" customHeight="1" x14ac:dyDescent="0.2">
      <c r="A42" s="173">
        <f>RANK(AL42,$AL$10:$AL$82,)</f>
        <v>9</v>
      </c>
      <c r="B42" s="174" t="s">
        <v>60</v>
      </c>
      <c r="C42" s="184">
        <v>6</v>
      </c>
      <c r="D42" s="176"/>
      <c r="E42" s="180"/>
      <c r="F42" s="176">
        <v>6</v>
      </c>
      <c r="G42" s="182"/>
      <c r="H42" s="179">
        <v>7</v>
      </c>
      <c r="I42" s="177">
        <v>6</v>
      </c>
      <c r="J42" s="179"/>
      <c r="K42" s="185">
        <v>5</v>
      </c>
      <c r="L42" s="179"/>
      <c r="M42" s="180">
        <v>6</v>
      </c>
      <c r="N42" s="176"/>
      <c r="O42" s="180"/>
      <c r="P42" s="176">
        <v>7</v>
      </c>
      <c r="Q42" s="182">
        <v>7</v>
      </c>
      <c r="R42" s="183"/>
      <c r="S42" s="210">
        <f>SUM(C43:R43)</f>
        <v>43</v>
      </c>
      <c r="T42" s="184">
        <v>7</v>
      </c>
      <c r="U42" s="179"/>
      <c r="V42" s="180"/>
      <c r="W42" s="179">
        <v>7</v>
      </c>
      <c r="X42" s="185"/>
      <c r="Y42" s="176">
        <v>6</v>
      </c>
      <c r="Z42" s="182">
        <v>7</v>
      </c>
      <c r="AA42" s="179"/>
      <c r="AB42" s="210">
        <f>SUM(T43:AA43)</f>
        <v>44</v>
      </c>
      <c r="AC42" s="182"/>
      <c r="AD42" s="179">
        <v>6</v>
      </c>
      <c r="AE42" s="185">
        <v>6</v>
      </c>
      <c r="AF42" s="179"/>
      <c r="AG42" s="210">
        <f>SUM(AC43:AF43)</f>
        <v>20</v>
      </c>
      <c r="AH42" s="219">
        <v>5</v>
      </c>
      <c r="AI42" s="190"/>
      <c r="AJ42" s="210">
        <f>AH43</f>
        <v>32</v>
      </c>
      <c r="AK42" s="188">
        <f>MAX($AL$10:$AL$82) - AL42</f>
        <v>30</v>
      </c>
      <c r="AL42" s="210">
        <f>$S42+$AB42+$AG42+$AJ42</f>
        <v>139</v>
      </c>
    </row>
    <row r="43" spans="1:38" s="27" customFormat="1" ht="12.75" hidden="1" customHeight="1" x14ac:dyDescent="0.2">
      <c r="A43" s="149" t="e">
        <f>RANK(AL43,$AL$10:$AL$82,)</f>
        <v>#N/A</v>
      </c>
      <c r="B43" s="107"/>
      <c r="C43" s="83">
        <f>(IF($C42&lt;&gt;"",($C$6*$O$92)+IF($C$6=4,($O$90)+IF($C42=$C$6+$D$6,$O$91,0),0),0)+IF($D42&lt;&gt;"",($D$6*$O$92)+IF($D$6=4,($O$90)+IF($D42=$C$6+$D$6,$O$91,0),0),0))</f>
        <v>9</v>
      </c>
      <c r="D43" s="84"/>
      <c r="E43" s="148">
        <f>(IF($E42&lt;&gt;"",($E$6*$O$92)+IF($E$6=4,($O$90)+IF($E42=$E$6+$F$6,$O$91,0),0),0)+IF($F42&lt;&gt;"",($F$6*$O$92)+IF($F$6=4,($O$90)+IF($F42=$E$6+$F$6,$O$91,0),0),0))</f>
        <v>3</v>
      </c>
      <c r="F43" s="84"/>
      <c r="G43" s="85">
        <f>(IF($G42&lt;&gt;"",($G$6*$O$92)+IF($G$6=4,($O$90)+IF($G42=$G$6+$H$6,$O$91,0),0),0)+IF($H42&lt;&gt;"",($H$6*$O$92)+IF($H$6=4,($O$90)+IF($H42=$G$6+$H$6,$O$91,0),0),0))</f>
        <v>2</v>
      </c>
      <c r="H43" s="84"/>
      <c r="I43" s="148">
        <f>(IF($I42&lt;&gt;"",($I$6*$O$92)+IF($I$6=4,($O$90)+IF($I42=$I$6+$J$6,$O$91,0),0),0)+IF($J42&lt;&gt;"",($J$6*$O$92)+IF($J$6=4,($O$90)+IF($J42=$I$6+$J$6,$O$91,0),0),0))</f>
        <v>11</v>
      </c>
      <c r="J43" s="86"/>
      <c r="K43" s="87">
        <f>(IF($K42&lt;&gt;"",($K$6*$O$92)+IF($K$6=4,($O$90)+IF($K42=$K$6+$L$6,$O$91,0),0),0)+IF($L42&lt;&gt;"",($L$6*$O$92)+IF($L$6=4,($O$90)+IF($L42=$K$6+$L$6,$O$91,0),0),0))</f>
        <v>9</v>
      </c>
      <c r="L43" s="84"/>
      <c r="M43" s="85">
        <f>(IF($M42&lt;&gt;"",($M$6*$O$92)+IF($M$6=4,($O$90)+IF($M42=$M$6+$N$6,$O$91,0),0),0)+IF($N42&lt;&gt;"",($N$6*$O$92)+IF($N$6=4,($O$90)+IF($N42=$M$6+$N$6,$O$91,0),0),0))</f>
        <v>9</v>
      </c>
      <c r="N43" s="84"/>
      <c r="O43" s="85">
        <f>(IF($O42&lt;&gt;"",($O$6*$O$92)+IF($O$6=4,($O$90)+IF($O42=$O$6+$P$6,$O$91,0),0),0)+IF($P42&lt;&gt;"",($P$6*$O$92)+IF($P$6=4,($O$90)+IF($P42=$O$6+$P$6,$O$91,0),0),0))</f>
        <v>0</v>
      </c>
      <c r="P43" s="84"/>
      <c r="Q43" s="85">
        <f>(IF($Q42&lt;&gt;"",($Q$6*$O$92)+IF($Q$6=4,($O$90)+IF($Q42=$Q$6+$R$6,$O$91,0),0),0)+IF($R42&lt;&gt;"",($R$6*$O$92)+IF($R$6=4,($O$90)+IF($R42=$Q$6+$R$6,$O$91,0),0),0))</f>
        <v>0</v>
      </c>
      <c r="R43" s="88"/>
      <c r="S43" s="205"/>
      <c r="T43" s="60">
        <f>(IF($T42&lt;&gt;"",($T$6*$P$92)+IF($T$6=4,($P$90)+IF($T42=$T$6+$U$6,$P$91,0),0),0)+IF($U42&lt;&gt;"",($U$6*$P$92)+IF($U$6=4,($P$90)+IF($U42=$T$6+$U$6,$P$91,0),0),0))</f>
        <v>14</v>
      </c>
      <c r="U43" s="61"/>
      <c r="V43" s="62">
        <f>(IF($V42&lt;&gt;"",($V$6*$P$92)+IF($V$6=4,($P$90)+IF($V42=$V$6+$W$6,$P$91,0),0),0)+IF($W42&lt;&gt;"",($W$6*$P$92)+IF($W$6=4,($P$90)+IF($W42=$V$6+$W$6,$P$91,0),0),0))</f>
        <v>2</v>
      </c>
      <c r="W43" s="63"/>
      <c r="X43" s="64">
        <f>(IF($X42&lt;&gt;"",($X$6*$P$92)+IF($X$6=4,($P$90)+IF($X42=$X$6+$Y$6,$P$91,0),0),0)+IF($Y42&lt;&gt;"",($Y$6*$P$92)+IF($Y$6=4,($P$90)+IF($Y42=$X$6+$Y$6,$P$91,0),0),0))</f>
        <v>14</v>
      </c>
      <c r="Y43" s="61"/>
      <c r="Z43" s="152">
        <f>(IF($Z42&lt;&gt;"",($Z$6*$P$92)+IF($Z$6=4,($P$90)+IF($Z42=$Z$6+$AA$6,$P$91,0),0),0)+IF($AA42&lt;&gt;"",($AA$6*$P$92)+IF($AA$6=4,($P$90)+IF($AA42=$Z$6+$AA$6,$P$91,0),0),0))</f>
        <v>14</v>
      </c>
      <c r="AA43" s="94"/>
      <c r="AB43" s="205"/>
      <c r="AC43" s="94">
        <f>(IF($AC42&lt;&gt;"",($AC$6*$Q$92)+IF($AC$6=4,($Q$90)+IF($AC42=$AC$6+$AD$6,$Q$91,0),0),0)+IF($AD42&lt;&gt;"",($AD$6*$Q$92)+IF($AD$6=4,($Q$90)+IF($AD42=$AC$6+$AD$6,$Q$91,0),0),0))</f>
        <v>19</v>
      </c>
      <c r="AD43" s="63"/>
      <c r="AE43" s="64">
        <f>(IF($AE42&lt;&gt;"",($AE$6*$Q$92)+IF($AE$6=4,($Q$90)+IF($AE42=$AE$6+$AF$6,$Q$91,0),0),0)+IF($AF42&lt;&gt;"",($AF$6*$Q$92)+IF($AF$6=4,($Q$90)+IF($AF42=$AE$6+$AF$6,$Q$91,0),0),0))</f>
        <v>1</v>
      </c>
      <c r="AF43" s="94"/>
      <c r="AG43" s="205"/>
      <c r="AH43" s="94">
        <f>(IF($AH42&lt;&gt;"",($AH$6*$R$92)+IF($AH$6=4,($R$90)+IF($AH42=$AH$6+$AI$6,$R$91,0),0),0)+IF($AI42&lt;&gt;"",($AI$6*$R$92)+IF($AI$6=4,($R$90)+IF($AI42=$AH$6+$AI$6,$R$91,0),0),0))</f>
        <v>32</v>
      </c>
      <c r="AI43" s="65"/>
      <c r="AJ43" s="205"/>
      <c r="AK43" s="134">
        <f>MAX($AL$10:$AL$82) - AL43</f>
        <v>169</v>
      </c>
      <c r="AL43" s="205"/>
    </row>
    <row r="44" spans="1:38" s="27" customFormat="1" hidden="1" x14ac:dyDescent="0.2">
      <c r="A44" s="108"/>
      <c r="B44" s="220" t="s">
        <v>78</v>
      </c>
      <c r="C44" s="154">
        <f>IF(ISBLANK(C42),
0,
IF(C$6= 4, 1, 0))</f>
        <v>1</v>
      </c>
      <c r="D44" s="154">
        <f>IF(ISBLANK(D42),
0,
IF(D$6 = 4, 1, 0))</f>
        <v>0</v>
      </c>
      <c r="E44" s="154">
        <f>IF(ISBLANK(E42),
0,
IF(E$6= 4, 1, 0))</f>
        <v>0</v>
      </c>
      <c r="F44" s="154">
        <f>IF(ISBLANK(F42),
0,
IF(F$6 = 4, 1, 0))</f>
        <v>0</v>
      </c>
      <c r="G44" s="154">
        <f>IF(ISBLANK(G42),
0,
IF(G$6= 4, 1, 0))</f>
        <v>0</v>
      </c>
      <c r="H44" s="154">
        <f>IF(ISBLANK(H42),
0,
IF(H$6 = 4, 1, 0))</f>
        <v>0</v>
      </c>
      <c r="I44" s="154">
        <f>IF(ISBLANK(I42),
0,
IF(I$6= 4, 1, 0))</f>
        <v>1</v>
      </c>
      <c r="J44" s="154">
        <f>IF(ISBLANK(J42),
0,
IF(J$6 = 4, 1, 0))</f>
        <v>0</v>
      </c>
      <c r="K44" s="154">
        <f>IF(ISBLANK(K42),
0,
IF(K$6= 4, 1, 0))</f>
        <v>1</v>
      </c>
      <c r="L44" s="154">
        <f>IF(ISBLANK(L42),
0,
IF(L$6 = 4, 1, 0))</f>
        <v>0</v>
      </c>
      <c r="M44" s="154">
        <f>IF(ISBLANK(M42),
0,
IF(M$6= 4, 1, 0))</f>
        <v>1</v>
      </c>
      <c r="N44" s="154">
        <f>IF(ISBLANK(N42),
0,
IF(N$6 = 4, 1, 0))</f>
        <v>0</v>
      </c>
      <c r="O44" s="154">
        <f>IF(ISBLANK(O42),
0,
IF(O$6= 4, 1, 0))</f>
        <v>0</v>
      </c>
      <c r="P44" s="154">
        <f>IF(ISBLANK(P42),
0,
IF(P$6 = 4, 1, 0))</f>
        <v>0</v>
      </c>
      <c r="Q44" s="154">
        <f>IF(ISBLANK(Q42),
0,
IF(Q$6= 4, 1, 0))</f>
        <v>0</v>
      </c>
      <c r="R44" s="154">
        <f>IF(ISBLANK(R42),
0,
IF(R$6 = 4, 1, 0))</f>
        <v>0</v>
      </c>
      <c r="S44" s="239"/>
      <c r="T44" s="154">
        <f>IF(ISBLANK(T42),
0,
IF(T$6= 4, 1, 0))</f>
        <v>1</v>
      </c>
      <c r="U44" s="154">
        <f>IF(ISBLANK(U42),
0,
IF(U$6 = 4, 1, 0))</f>
        <v>0</v>
      </c>
      <c r="V44" s="154">
        <f>IF(ISBLANK(V42),
0,
IF(V$6= 4, 1, 0))</f>
        <v>0</v>
      </c>
      <c r="W44" s="154">
        <f>IF(ISBLANK(W42),
0,
IF(W$6 = 4, 1, 0))</f>
        <v>0</v>
      </c>
      <c r="X44" s="154">
        <f>IF(ISBLANK(X42),
0,
IF(X$6= 4, 1, 0))</f>
        <v>0</v>
      </c>
      <c r="Y44" s="154">
        <f>IF(ISBLANK(Y42),
0,
IF(Y$6 = 4, 1, 0))</f>
        <v>1</v>
      </c>
      <c r="Z44" s="154">
        <f>IF(ISBLANK(Z42),
0,
IF(Z$6= 4, 1, 0))</f>
        <v>1</v>
      </c>
      <c r="AA44" s="154">
        <f>IF(ISBLANK(AA42),
0,
IF(AA$6 = 4, 1, 0))</f>
        <v>0</v>
      </c>
      <c r="AB44" s="239"/>
      <c r="AC44" s="154">
        <f>IF(ISBLANK(AC42),
0,
IF(AC$6= 4, 1, 0))</f>
        <v>0</v>
      </c>
      <c r="AD44" s="154">
        <f>IF(ISBLANK(AD42),
0,
IF(AD$6 = 4, 1, 0))</f>
        <v>1</v>
      </c>
      <c r="AE44" s="154">
        <f>IF(ISBLANK(AE42),
0,
IF(AE$6= 4, 1, 0))</f>
        <v>0</v>
      </c>
      <c r="AF44" s="154">
        <f>IF(ISBLANK(AF42),
0,
IF(AF$6 = 4, 1, 0))</f>
        <v>0</v>
      </c>
      <c r="AG44" s="239"/>
      <c r="AH44" s="154">
        <f>IF(ISBLANK(AH42),
0,
IF(AH$6= 4, 1, 0))</f>
        <v>1</v>
      </c>
      <c r="AI44" s="154">
        <f>IF(ISBLANK(AI42),
0,
IF(AI$6 = 4, 1, 0))</f>
        <v>0</v>
      </c>
      <c r="AJ44" s="239"/>
      <c r="AK44" s="240">
        <f>SUM(C44:AI44)</f>
        <v>9</v>
      </c>
      <c r="AL44" s="207"/>
    </row>
    <row r="45" spans="1:38" s="27" customFormat="1" hidden="1" x14ac:dyDescent="0.2">
      <c r="A45" s="108"/>
      <c r="B45" s="220" t="s">
        <v>79</v>
      </c>
      <c r="C45" s="154">
        <f>IF(C44 = 0,
0,
IF(C42 = (C$6+D$6),1,0))</f>
        <v>0</v>
      </c>
      <c r="D45" s="154">
        <f>IF(D44 = 0,
0,
IF(D42 = (C$6+D$6),1,0))</f>
        <v>0</v>
      </c>
      <c r="E45" s="154">
        <f>IF(E44 = 0,
0,
IF(E42 = (E$6+F$6),1,0))</f>
        <v>0</v>
      </c>
      <c r="F45" s="154">
        <f>IF(F44 = 0,
0,
IF(F42 = (E$6+F$6),1,0))</f>
        <v>0</v>
      </c>
      <c r="G45" s="154">
        <f>IF(G44 = 0,
0,
IF(G42 = (G$6+H$6),1,0))</f>
        <v>0</v>
      </c>
      <c r="H45" s="154">
        <f>IF(H44 = 0,
0,
IF(H42 = (G$6+H$6),1,0))</f>
        <v>0</v>
      </c>
      <c r="I45" s="154">
        <f>IF(I44 = 0,
0,
IF(I42 = (I$6+J$6),1,0))</f>
        <v>1</v>
      </c>
      <c r="J45" s="154">
        <f>IF(J44 = 0,
0,
IF(J42 = (I$6+J$6),1,0))</f>
        <v>0</v>
      </c>
      <c r="K45" s="154">
        <f>IF(K44 = 0,
0,
IF(K42 = (K$6+L$6),1,0))</f>
        <v>0</v>
      </c>
      <c r="L45" s="154">
        <f>IF(L44 = 0,
0,
IF(L42 = (K$6+L$6),1,0))</f>
        <v>0</v>
      </c>
      <c r="M45" s="154">
        <f>IF(M44 = 0,
0,
IF(M42 = (M$6+N$6),1,0))</f>
        <v>0</v>
      </c>
      <c r="N45" s="154">
        <f>IF(N44 = 0,
0,
IF(N42 = (M$6+N$6),1,0))</f>
        <v>0</v>
      </c>
      <c r="O45" s="154">
        <f>IF(O44 = 0,
0,
IF(O42 = (O$6+P$6),1,0))</f>
        <v>0</v>
      </c>
      <c r="P45" s="154">
        <f>IF(P44 = 0,
0,
IF(P42 = (O$6+P$6),1,0))</f>
        <v>0</v>
      </c>
      <c r="Q45" s="154">
        <f>IF(Q44 = 0,
0,
IF(Q42 = (Q$6+R$6),1,0))</f>
        <v>0</v>
      </c>
      <c r="R45" s="154">
        <f>IF(R44 = 0,
0,
IF(R42 = (Q$6+R$6),1,0))</f>
        <v>0</v>
      </c>
      <c r="S45" s="239"/>
      <c r="T45" s="154">
        <f>IF(T44 = 0,
0,
IF(T42 = (T$6+U$6),1,0))</f>
        <v>0</v>
      </c>
      <c r="U45" s="154">
        <f>IF(U44 = 0,
0,
IF(U42 = (T$6+U$6),1,0))</f>
        <v>0</v>
      </c>
      <c r="V45" s="154">
        <f>IF(V44 = 0,
0,
IF(V42 = (V$6+W$6),1,0))</f>
        <v>0</v>
      </c>
      <c r="W45" s="154">
        <f>IF(W44 = 0,
0,
IF(W42 = (V$6+W$6),1,0))</f>
        <v>0</v>
      </c>
      <c r="X45" s="154">
        <f>IF(X44 = 0,
0,
IF(X42 = (X$6+Y$6),1,0))</f>
        <v>0</v>
      </c>
      <c r="Y45" s="154">
        <f>IF(Y44 = 0,
0,
IF(Y42 = (X$6+Y$6),1,0))</f>
        <v>0</v>
      </c>
      <c r="Z45" s="154">
        <f>IF(Z44 = 0,
0,
IF(Z42 = (Z$6+AA$6),1,0))</f>
        <v>0</v>
      </c>
      <c r="AA45" s="154">
        <f>IF(AA44 = 0,
0,
IF(AA42 = (Z$6+AA$6),1,0))</f>
        <v>0</v>
      </c>
      <c r="AB45" s="239"/>
      <c r="AC45" s="154">
        <f>IF(AC44 = 0,
0,
IF(AC42 = (AC$6+AD$6),1,0))</f>
        <v>0</v>
      </c>
      <c r="AD45" s="154">
        <f>IF(AD44 = 0,
0,
IF(AD42 = (AC$6+AD$6),1,0))</f>
        <v>0</v>
      </c>
      <c r="AE45" s="154">
        <f>IF(AE44 = 0,
0,
IF(AE42 = (AE$6+AF$6),1,0))</f>
        <v>0</v>
      </c>
      <c r="AF45" s="154">
        <f>IF(AF44 = 0,
0,
IF(AF42 = (AE$6+AF$6),1,0))</f>
        <v>0</v>
      </c>
      <c r="AG45" s="239"/>
      <c r="AH45" s="154">
        <f>IF(AH44 = 0,
0,
IF(AH42 = (AH$6+AI$6),1,0))</f>
        <v>1</v>
      </c>
      <c r="AI45" s="154">
        <f>IF(AI44 = 0,
0,
IF(AI42 = (AH$6+AI$6),1,0))</f>
        <v>0</v>
      </c>
      <c r="AJ45" s="239"/>
      <c r="AK45" s="240">
        <f>SUM(C45:AI45)</f>
        <v>2</v>
      </c>
      <c r="AL45" s="207"/>
    </row>
    <row r="46" spans="1:38" s="27" customFormat="1" ht="12.75" customHeight="1" x14ac:dyDescent="0.2">
      <c r="A46" s="149">
        <f>RANK(AL46,$AL$10:$AL$82,)</f>
        <v>10</v>
      </c>
      <c r="B46" s="93" t="s">
        <v>56</v>
      </c>
      <c r="C46" s="47">
        <v>6</v>
      </c>
      <c r="D46" s="46"/>
      <c r="E46" s="45">
        <v>6</v>
      </c>
      <c r="F46" s="46"/>
      <c r="G46" s="49"/>
      <c r="H46" s="48">
        <v>7</v>
      </c>
      <c r="I46" s="45">
        <v>7</v>
      </c>
      <c r="J46" s="48"/>
      <c r="K46" s="50">
        <v>5</v>
      </c>
      <c r="L46" s="48"/>
      <c r="M46" s="156">
        <v>5</v>
      </c>
      <c r="N46" s="46"/>
      <c r="O46" s="45">
        <v>7</v>
      </c>
      <c r="P46" s="46"/>
      <c r="Q46" s="49">
        <v>7</v>
      </c>
      <c r="R46" s="51"/>
      <c r="S46" s="206">
        <f>SUM(C47:R47)</f>
        <v>58</v>
      </c>
      <c r="T46" s="47"/>
      <c r="U46" s="48">
        <v>7</v>
      </c>
      <c r="V46" s="45"/>
      <c r="W46" s="48">
        <v>6</v>
      </c>
      <c r="X46" s="50"/>
      <c r="Y46" s="161">
        <v>7</v>
      </c>
      <c r="Z46" s="49">
        <v>7</v>
      </c>
      <c r="AA46" s="48"/>
      <c r="AB46" s="206">
        <f>SUM(T47:AA47)</f>
        <v>35</v>
      </c>
      <c r="AC46" s="49"/>
      <c r="AD46" s="214">
        <v>7</v>
      </c>
      <c r="AE46" s="50"/>
      <c r="AF46" s="48">
        <v>6</v>
      </c>
      <c r="AG46" s="206">
        <f>SUM(AC47:AF47)</f>
        <v>44</v>
      </c>
      <c r="AH46" s="113"/>
      <c r="AI46" s="58">
        <v>7</v>
      </c>
      <c r="AJ46" s="206">
        <f>AH47</f>
        <v>1</v>
      </c>
      <c r="AK46" s="134">
        <f>MAX($AL$10:$AL$82) - AL46</f>
        <v>31</v>
      </c>
      <c r="AL46" s="206">
        <f>$S46+$AB46+$AG46+$AJ46</f>
        <v>138</v>
      </c>
    </row>
    <row r="47" spans="1:38" s="27" customFormat="1" ht="12.75" hidden="1" customHeight="1" x14ac:dyDescent="0.2">
      <c r="A47" s="149" t="e">
        <f>RANK(AL47,$AL$10:$AL$82,)</f>
        <v>#N/A</v>
      </c>
      <c r="B47" s="107"/>
      <c r="C47" s="83">
        <f>(IF($C46&lt;&gt;"",($C$6*$O$92)+IF($C$6=4,($O$90)+IF($C46=$C$6+$D$6,$O$91,0),0),0)+IF($D46&lt;&gt;"",($D$6*$O$92)+IF($D$6=4,($O$90)+IF($D46=$C$6+$D$6,$O$91,0),0),0))</f>
        <v>9</v>
      </c>
      <c r="D47" s="84"/>
      <c r="E47" s="85">
        <f>(IF($E46&lt;&gt;"",($E$6*$O$92)+IF($E$6=4,($O$90)+IF($E46=$E$6+$F$6,$O$91,0),0),0)+IF($F46&lt;&gt;"",($F$6*$O$92)+IF($F$6=4,($O$90)+IF($F46=$E$6+$F$6,$O$91,0),0),0))</f>
        <v>9</v>
      </c>
      <c r="F47" s="84"/>
      <c r="G47" s="85">
        <f>(IF($G46&lt;&gt;"",($G$6*$O$92)+IF($G$6=4,($O$90)+IF($G46=$G$6+$H$6,$O$91,0),0),0)+IF($H46&lt;&gt;"",($H$6*$O$92)+IF($H$6=4,($O$90)+IF($H46=$G$6+$H$6,$O$91,0),0),0))</f>
        <v>2</v>
      </c>
      <c r="H47" s="84"/>
      <c r="I47" s="85">
        <f>(IF($I46&lt;&gt;"",($I$6*$O$92)+IF($I$6=4,($O$90)+IF($I46=$I$6+$J$6,$O$91,0),0),0)+IF($J46&lt;&gt;"",($J$6*$O$92)+IF($J$6=4,($O$90)+IF($J46=$I$6+$J$6,$O$91,0),0),0))</f>
        <v>9</v>
      </c>
      <c r="J47" s="86"/>
      <c r="K47" s="87">
        <f>(IF($K46&lt;&gt;"",($K$6*$O$92)+IF($K$6=4,($O$90)+IF($K46=$K$6+$L$6,$O$91,0),0),0)+IF($L46&lt;&gt;"",($L$6*$O$92)+IF($L$6=4,($O$90)+IF($L46=$K$6+$L$6,$O$91,0),0),0))</f>
        <v>9</v>
      </c>
      <c r="L47" s="84"/>
      <c r="M47" s="85">
        <f>(IF($M46&lt;&gt;"",($M$6*$O$92)+IF($M$6=4,($O$90)+IF($M46=$M$6+$N$6,$O$91,0),0),0)+IF($N46&lt;&gt;"",($N$6*$O$92)+IF($N$6=4,($O$90)+IF($N46=$M$6+$N$6,$O$91,0),0),0))</f>
        <v>11</v>
      </c>
      <c r="N47" s="84"/>
      <c r="O47" s="85">
        <f>(IF($O46&lt;&gt;"",($O$6*$O$92)+IF($O$6=4,($O$90)+IF($O46=$O$6+$P$6,$O$91,0),0),0)+IF($P46&lt;&gt;"",($P$6*$O$92)+IF($P$6=4,($O$90)+IF($P46=$O$6+$P$6,$O$91,0),0),0))</f>
        <v>9</v>
      </c>
      <c r="P47" s="84"/>
      <c r="Q47" s="85">
        <f>(IF($Q46&lt;&gt;"",($Q$6*$O$92)+IF($Q$6=4,($O$90)+IF($Q46=$Q$6+$R$6,$O$91,0),0),0)+IF($R46&lt;&gt;"",($R$6*$O$92)+IF($R$6=4,($O$90)+IF($R46=$Q$6+$R$6,$O$91,0),0),0))</f>
        <v>0</v>
      </c>
      <c r="R47" s="88"/>
      <c r="S47" s="205"/>
      <c r="T47" s="60">
        <f>(IF($T46&lt;&gt;"",($T$6*$P$92)+IF($T$6=4,($P$90)+IF($T46=$T$6+$U$6,$P$91,0),0),0)+IF($U46&lt;&gt;"",($U$6*$P$92)+IF($U$6=4,($P$90)+IF($U46=$T$6+$U$6,$P$91,0),0),0))</f>
        <v>1</v>
      </c>
      <c r="U47" s="61"/>
      <c r="V47" s="62">
        <f>(IF($V46&lt;&gt;"",($V$6*$P$92)+IF($V$6=4,($P$90)+IF($V46=$V$6+$W$6,$P$91,0),0),0)+IF($W46&lt;&gt;"",($W$6*$P$92)+IF($W$6=4,($P$90)+IF($W46=$V$6+$W$6,$P$91,0),0),0))</f>
        <v>2</v>
      </c>
      <c r="W47" s="63"/>
      <c r="X47" s="64">
        <f>(IF($X46&lt;&gt;"",($X$6*$P$92)+IF($X$6=4,($P$90)+IF($X46=$X$6+$Y$6,$P$91,0),0),0)+IF($Y46&lt;&gt;"",($Y$6*$P$92)+IF($Y$6=4,($P$90)+IF($Y46=$X$6+$Y$6,$P$91,0),0),0))</f>
        <v>18</v>
      </c>
      <c r="Y47" s="61"/>
      <c r="Z47" s="62">
        <f>(IF($Z46&lt;&gt;"",($Z$6*$P$92)+IF($Z$6=4,($P$90)+IF($Z46=$Z$6+$AA$6,$P$91,0),0),0)+IF($AA46&lt;&gt;"",($AA$6*$P$92)+IF($AA$6=4,($P$90)+IF($AA46=$Z$6+$AA$6,$P$91,0),0),0))</f>
        <v>14</v>
      </c>
      <c r="AA47" s="94"/>
      <c r="AB47" s="205"/>
      <c r="AC47" s="94">
        <f>(IF($AC46&lt;&gt;"",($AC$6*$Q$92)+IF($AC$6=4,($Q$90)+IF($AC46=$AC$6+$AD$6,$Q$91,0),0),0)+IF($AD46&lt;&gt;"",($AD$6*$Q$92)+IF($AD$6=4,($Q$90)+IF($AD46=$AC$6+$AD$6,$Q$91,0),0),0))</f>
        <v>25</v>
      </c>
      <c r="AD47" s="63"/>
      <c r="AE47" s="64">
        <f>(IF($AE46&lt;&gt;"",($AE$6*$Q$92)+IF($AE$6=4,($Q$90)+IF($AE46=$AE$6+$AF$6,$Q$91,0),0),0)+IF($AF46&lt;&gt;"",($AF$6*$Q$92)+IF($AF$6=4,($Q$90)+IF($AF46=$AE$6+$AF$6,$Q$91,0),0),0))</f>
        <v>19</v>
      </c>
      <c r="AF47" s="94"/>
      <c r="AG47" s="205"/>
      <c r="AH47" s="94">
        <f>(IF($AH46&lt;&gt;"",($AH$6*$R$92)+IF($AH$6=4,($R$90)+IF($AH46=$AH$6+$AI$6,$R$91,0),0),0)+IF($AI46&lt;&gt;"",($AI$6*$R$92)+IF($AI$6=4,($R$90)+IF($AI46=$AH$6+$AI$6,$R$91,0),0),0))</f>
        <v>1</v>
      </c>
      <c r="AI47" s="65"/>
      <c r="AJ47" s="205"/>
      <c r="AK47" s="134">
        <f>MAX($AL$10:$AL$82) - AL47</f>
        <v>169</v>
      </c>
      <c r="AL47" s="205"/>
    </row>
    <row r="48" spans="1:38" s="27" customFormat="1" hidden="1" x14ac:dyDescent="0.2">
      <c r="A48" s="108"/>
      <c r="B48" s="220" t="s">
        <v>78</v>
      </c>
      <c r="C48" s="154">
        <f>IF(ISBLANK(C46),
0,
IF(C$6= 4, 1, 0))</f>
        <v>1</v>
      </c>
      <c r="D48" s="154">
        <f>IF(ISBLANK(D46),
0,
IF(D$6 = 4, 1, 0))</f>
        <v>0</v>
      </c>
      <c r="E48" s="154">
        <f>IF(ISBLANK(E46),
0,
IF(E$6= 4, 1, 0))</f>
        <v>1</v>
      </c>
      <c r="F48" s="154">
        <f>IF(ISBLANK(F46),
0,
IF(F$6 = 4, 1, 0))</f>
        <v>0</v>
      </c>
      <c r="G48" s="154">
        <f>IF(ISBLANK(G46),
0,
IF(G$6= 4, 1, 0))</f>
        <v>0</v>
      </c>
      <c r="H48" s="154">
        <f>IF(ISBLANK(H46),
0,
IF(H$6 = 4, 1, 0))</f>
        <v>0</v>
      </c>
      <c r="I48" s="154">
        <f>IF(ISBLANK(I46),
0,
IF(I$6= 4, 1, 0))</f>
        <v>1</v>
      </c>
      <c r="J48" s="154">
        <f>IF(ISBLANK(J46),
0,
IF(J$6 = 4, 1, 0))</f>
        <v>0</v>
      </c>
      <c r="K48" s="154">
        <f>IF(ISBLANK(K46),
0,
IF(K$6= 4, 1, 0))</f>
        <v>1</v>
      </c>
      <c r="L48" s="154">
        <f>IF(ISBLANK(L46),
0,
IF(L$6 = 4, 1, 0))</f>
        <v>0</v>
      </c>
      <c r="M48" s="154">
        <f>IF(ISBLANK(M46),
0,
IF(M$6= 4, 1, 0))</f>
        <v>1</v>
      </c>
      <c r="N48" s="154">
        <f>IF(ISBLANK(N46),
0,
IF(N$6 = 4, 1, 0))</f>
        <v>0</v>
      </c>
      <c r="O48" s="154">
        <f>IF(ISBLANK(O46),
0,
IF(O$6= 4, 1, 0))</f>
        <v>1</v>
      </c>
      <c r="P48" s="154">
        <f>IF(ISBLANK(P46),
0,
IF(P$6 = 4, 1, 0))</f>
        <v>0</v>
      </c>
      <c r="Q48" s="154">
        <f>IF(ISBLANK(Q46),
0,
IF(Q$6= 4, 1, 0))</f>
        <v>0</v>
      </c>
      <c r="R48" s="154">
        <f>IF(ISBLANK(R46),
0,
IF(R$6 = 4, 1, 0))</f>
        <v>0</v>
      </c>
      <c r="S48" s="239"/>
      <c r="T48" s="154">
        <f>IF(ISBLANK(T46),
0,
IF(T$6= 4, 1, 0))</f>
        <v>0</v>
      </c>
      <c r="U48" s="154">
        <f>IF(ISBLANK(U46),
0,
IF(U$6 = 4, 1, 0))</f>
        <v>0</v>
      </c>
      <c r="V48" s="154">
        <f>IF(ISBLANK(V46),
0,
IF(V$6= 4, 1, 0))</f>
        <v>0</v>
      </c>
      <c r="W48" s="154">
        <f>IF(ISBLANK(W46),
0,
IF(W$6 = 4, 1, 0))</f>
        <v>0</v>
      </c>
      <c r="X48" s="154">
        <f>IF(ISBLANK(X46),
0,
IF(X$6= 4, 1, 0))</f>
        <v>0</v>
      </c>
      <c r="Y48" s="154">
        <f>IF(ISBLANK(Y46),
0,
IF(Y$6 = 4, 1, 0))</f>
        <v>1</v>
      </c>
      <c r="Z48" s="154">
        <f>IF(ISBLANK(Z46),
0,
IF(Z$6= 4, 1, 0))</f>
        <v>1</v>
      </c>
      <c r="AA48" s="154">
        <f>IF(ISBLANK(AA46),
0,
IF(AA$6 = 4, 1, 0))</f>
        <v>0</v>
      </c>
      <c r="AB48" s="239"/>
      <c r="AC48" s="154">
        <f>IF(ISBLANK(AC46),
0,
IF(AC$6= 4, 1, 0))</f>
        <v>0</v>
      </c>
      <c r="AD48" s="154">
        <f>IF(ISBLANK(AD46),
0,
IF(AD$6 = 4, 1, 0))</f>
        <v>1</v>
      </c>
      <c r="AE48" s="154">
        <f>IF(ISBLANK(AE46),
0,
IF(AE$6= 4, 1, 0))</f>
        <v>0</v>
      </c>
      <c r="AF48" s="154">
        <f>IF(ISBLANK(AF46),
0,
IF(AF$6 = 4, 1, 0))</f>
        <v>1</v>
      </c>
      <c r="AG48" s="239"/>
      <c r="AH48" s="154">
        <f>IF(ISBLANK(AH46),
0,
IF(AH$6= 4, 1, 0))</f>
        <v>0</v>
      </c>
      <c r="AI48" s="154">
        <f>IF(ISBLANK(AI46),
0,
IF(AI$6 = 4, 1, 0))</f>
        <v>0</v>
      </c>
      <c r="AJ48" s="239"/>
      <c r="AK48" s="240">
        <f>SUM(C48:AI48)</f>
        <v>10</v>
      </c>
      <c r="AL48" s="207"/>
    </row>
    <row r="49" spans="1:38" s="27" customFormat="1" hidden="1" x14ac:dyDescent="0.2">
      <c r="A49" s="108"/>
      <c r="B49" s="220" t="s">
        <v>79</v>
      </c>
      <c r="C49" s="154">
        <f>IF(C48 = 0,
0,
IF(C46 = (C$6+D$6),1,0))</f>
        <v>0</v>
      </c>
      <c r="D49" s="154">
        <f>IF(D48 = 0,
0,
IF(D46 = (C$6+D$6),1,0))</f>
        <v>0</v>
      </c>
      <c r="E49" s="154">
        <f>IF(E48 = 0,
0,
IF(E46 = (E$6+F$6),1,0))</f>
        <v>0</v>
      </c>
      <c r="F49" s="154">
        <f>IF(F48 = 0,
0,
IF(F46 = (E$6+F$6),1,0))</f>
        <v>0</v>
      </c>
      <c r="G49" s="154">
        <f>IF(G48 = 0,
0,
IF(G46 = (G$6+H$6),1,0))</f>
        <v>0</v>
      </c>
      <c r="H49" s="154">
        <f>IF(H48 = 0,
0,
IF(H46 = (G$6+H$6),1,0))</f>
        <v>0</v>
      </c>
      <c r="I49" s="154">
        <f>IF(I48 = 0,
0,
IF(I46 = (I$6+J$6),1,0))</f>
        <v>0</v>
      </c>
      <c r="J49" s="154">
        <f>IF(J48 = 0,
0,
IF(J46 = (I$6+J$6),1,0))</f>
        <v>0</v>
      </c>
      <c r="K49" s="154">
        <f>IF(K48 = 0,
0,
IF(K46 = (K$6+L$6),1,0))</f>
        <v>0</v>
      </c>
      <c r="L49" s="154">
        <f>IF(L48 = 0,
0,
IF(L46 = (K$6+L$6),1,0))</f>
        <v>0</v>
      </c>
      <c r="M49" s="154">
        <f>IF(M48 = 0,
0,
IF(M46 = (M$6+N$6),1,0))</f>
        <v>1</v>
      </c>
      <c r="N49" s="154">
        <f>IF(N48 = 0,
0,
IF(N46 = (M$6+N$6),1,0))</f>
        <v>0</v>
      </c>
      <c r="O49" s="154">
        <f>IF(O48 = 0,
0,
IF(O46 = (O$6+P$6),1,0))</f>
        <v>0</v>
      </c>
      <c r="P49" s="154">
        <f>IF(P48 = 0,
0,
IF(P46 = (O$6+P$6),1,0))</f>
        <v>0</v>
      </c>
      <c r="Q49" s="154">
        <f>IF(Q48 = 0,
0,
IF(Q46 = (Q$6+R$6),1,0))</f>
        <v>0</v>
      </c>
      <c r="R49" s="154">
        <f>IF(R48 = 0,
0,
IF(R46 = (Q$6+R$6),1,0))</f>
        <v>0</v>
      </c>
      <c r="S49" s="239"/>
      <c r="T49" s="154">
        <f>IF(T48 = 0,
0,
IF(T46 = (T$6+U$6),1,0))</f>
        <v>0</v>
      </c>
      <c r="U49" s="154">
        <f>IF(U48 = 0,
0,
IF(U46 = (T$6+U$6),1,0))</f>
        <v>0</v>
      </c>
      <c r="V49" s="154">
        <f>IF(V48 = 0,
0,
IF(V46 = (V$6+W$6),1,0))</f>
        <v>0</v>
      </c>
      <c r="W49" s="154">
        <f>IF(W48 = 0,
0,
IF(W46 = (V$6+W$6),1,0))</f>
        <v>0</v>
      </c>
      <c r="X49" s="154">
        <f>IF(X48 = 0,
0,
IF(X46 = (X$6+Y$6),1,0))</f>
        <v>0</v>
      </c>
      <c r="Y49" s="154">
        <f>IF(Y48 = 0,
0,
IF(Y46 = (X$6+Y$6),1,0))</f>
        <v>1</v>
      </c>
      <c r="Z49" s="154">
        <f>IF(Z48 = 0,
0,
IF(Z46 = (Z$6+AA$6),1,0))</f>
        <v>0</v>
      </c>
      <c r="AA49" s="154">
        <f>IF(AA48 = 0,
0,
IF(AA46 = (Z$6+AA$6),1,0))</f>
        <v>0</v>
      </c>
      <c r="AB49" s="239"/>
      <c r="AC49" s="154">
        <f>IF(AC48 = 0,
0,
IF(AC46 = (AC$6+AD$6),1,0))</f>
        <v>0</v>
      </c>
      <c r="AD49" s="154">
        <f>IF(AD48 = 0,
0,
IF(AD46 = (AC$6+AD$6),1,0))</f>
        <v>1</v>
      </c>
      <c r="AE49" s="154">
        <f>IF(AE48 = 0,
0,
IF(AE46 = (AE$6+AF$6),1,0))</f>
        <v>0</v>
      </c>
      <c r="AF49" s="154">
        <f>IF(AF48 = 0,
0,
IF(AF46 = (AE$6+AF$6),1,0))</f>
        <v>0</v>
      </c>
      <c r="AG49" s="239"/>
      <c r="AH49" s="154">
        <f>IF(AH48 = 0,
0,
IF(AH46 = (AH$6+AI$6),1,0))</f>
        <v>0</v>
      </c>
      <c r="AI49" s="154">
        <f>IF(AI48 = 0,
0,
IF(AI46 = (AH$6+AI$6),1,0))</f>
        <v>0</v>
      </c>
      <c r="AJ49" s="239"/>
      <c r="AK49" s="240">
        <f>SUM(C49:AI49)</f>
        <v>3</v>
      </c>
      <c r="AL49" s="207"/>
    </row>
    <row r="50" spans="1:38" s="27" customFormat="1" ht="12.75" customHeight="1" x14ac:dyDescent="0.2">
      <c r="A50" s="173">
        <f>RANK(AL50,$AL$10:$AL$82,)</f>
        <v>11</v>
      </c>
      <c r="B50" s="174" t="s">
        <v>65</v>
      </c>
      <c r="C50" s="184">
        <v>6</v>
      </c>
      <c r="D50" s="176"/>
      <c r="E50" s="180">
        <v>6</v>
      </c>
      <c r="F50" s="176"/>
      <c r="G50" s="178">
        <v>6</v>
      </c>
      <c r="H50" s="179"/>
      <c r="I50" s="177">
        <v>6</v>
      </c>
      <c r="J50" s="179"/>
      <c r="K50" s="185">
        <v>5</v>
      </c>
      <c r="L50" s="179"/>
      <c r="M50" s="177">
        <v>5</v>
      </c>
      <c r="N50" s="176"/>
      <c r="O50" s="180">
        <v>5</v>
      </c>
      <c r="P50" s="176"/>
      <c r="Q50" s="182">
        <v>6</v>
      </c>
      <c r="R50" s="183"/>
      <c r="S50" s="210">
        <f>SUM(C51:R51)</f>
        <v>69</v>
      </c>
      <c r="T50" s="184"/>
      <c r="U50" s="179">
        <v>6</v>
      </c>
      <c r="V50" s="180"/>
      <c r="W50" s="179">
        <v>6</v>
      </c>
      <c r="X50" s="185">
        <v>7</v>
      </c>
      <c r="Y50" s="176"/>
      <c r="Z50" s="182">
        <v>5</v>
      </c>
      <c r="AA50" s="179"/>
      <c r="AB50" s="210">
        <f>SUM(T51:AA51)</f>
        <v>20</v>
      </c>
      <c r="AC50" s="182"/>
      <c r="AD50" s="179">
        <v>6</v>
      </c>
      <c r="AE50" s="185"/>
      <c r="AF50" s="179">
        <v>7</v>
      </c>
      <c r="AG50" s="210">
        <f>SUM(AC51:AF51)</f>
        <v>38</v>
      </c>
      <c r="AH50" s="191"/>
      <c r="AI50" s="190">
        <v>7</v>
      </c>
      <c r="AJ50" s="210">
        <f>AH51</f>
        <v>1</v>
      </c>
      <c r="AK50" s="188">
        <f>MAX($AL$10:$AL$82) - AL50</f>
        <v>41</v>
      </c>
      <c r="AL50" s="206">
        <f>$S50+$AB50+$AG50+$AJ50</f>
        <v>128</v>
      </c>
    </row>
    <row r="51" spans="1:38" s="27" customFormat="1" ht="12.75" hidden="1" customHeight="1" x14ac:dyDescent="0.2">
      <c r="A51" s="149" t="e">
        <f>RANK(AL51,$AL$10:$AL$82,)</f>
        <v>#N/A</v>
      </c>
      <c r="B51" s="107"/>
      <c r="C51" s="83">
        <f>(IF($C50&lt;&gt;"",($C$6*$O$92)+IF($C$6=4,($O$90)+IF($C50=$C$6+$D$6,$O$91,0),0),0)+IF($D50&lt;&gt;"",($D$6*$O$92)+IF($D$6=4,($O$90)+IF($D50=$C$6+$D$6,$O$91,0),0),0))</f>
        <v>9</v>
      </c>
      <c r="D51" s="84"/>
      <c r="E51" s="85">
        <f>(IF($E50&lt;&gt;"",($E$6*$O$92)+IF($E$6=4,($O$90)+IF($E50=$E$6+$F$6,$O$91,0),0),0)+IF($F50&lt;&gt;"",($F$6*$O$92)+IF($F$6=4,($O$90)+IF($F50=$E$6+$F$6,$O$91,0),0),0))</f>
        <v>9</v>
      </c>
      <c r="F51" s="84"/>
      <c r="G51" s="85">
        <f>(IF($G50&lt;&gt;"",($G$6*$O$92)+IF($G$6=4,($O$90)+IF($G50=$G$6+$H$6,$O$91,0),0),0)+IF($H50&lt;&gt;"",($H$6*$O$92)+IF($H$6=4,($O$90)+IF($H50=$G$6+$H$6,$O$91,0),0),0))</f>
        <v>11</v>
      </c>
      <c r="H51" s="84"/>
      <c r="I51" s="85">
        <f>(IF($I50&lt;&gt;"",($I$6*$O$92)+IF($I$6=4,($O$90)+IF($I50=$I$6+$J$6,$O$91,0),0),0)+IF($J50&lt;&gt;"",($J$6*$O$92)+IF($J$6=4,($O$90)+IF($J50=$I$6+$J$6,$O$91,0),0),0))</f>
        <v>11</v>
      </c>
      <c r="J51" s="86"/>
      <c r="K51" s="87">
        <f>(IF($K50&lt;&gt;"",($K$6*$O$92)+IF($K$6=4,($O$90)+IF($K50=$K$6+$L$6,$O$91,0),0),0)+IF($L50&lt;&gt;"",($L$6*$O$92)+IF($L$6=4,($O$90)+IF($L50=$K$6+$L$6,$O$91,0),0),0))</f>
        <v>9</v>
      </c>
      <c r="L51" s="84"/>
      <c r="M51" s="85">
        <f>(IF($M50&lt;&gt;"",($M$6*$O$92)+IF($M$6=4,($O$90)+IF($M50=$M$6+$N$6,$O$91,0),0),0)+IF($N50&lt;&gt;"",($N$6*$O$92)+IF($N$6=4,($O$90)+IF($N50=$M$6+$N$6,$O$91,0),0),0))</f>
        <v>11</v>
      </c>
      <c r="N51" s="84"/>
      <c r="O51" s="85">
        <f>(IF($O50&lt;&gt;"",($O$6*$O$92)+IF($O$6=4,($O$90)+IF($O50=$O$6+$P$6,$O$91,0),0),0)+IF($P50&lt;&gt;"",($P$6*$O$92)+IF($P$6=4,($O$90)+IF($P50=$O$6+$P$6,$O$91,0),0),0))</f>
        <v>9</v>
      </c>
      <c r="P51" s="84"/>
      <c r="Q51" s="85">
        <f>(IF($Q50&lt;&gt;"",($Q$6*$O$92)+IF($Q$6=4,($O$90)+IF($Q50=$Q$6+$R$6,$O$91,0),0),0)+IF($R50&lt;&gt;"",($R$6*$O$92)+IF($R$6=4,($O$90)+IF($R50=$Q$6+$R$6,$O$91,0),0),0))</f>
        <v>0</v>
      </c>
      <c r="R51" s="88"/>
      <c r="S51" s="205"/>
      <c r="T51" s="60">
        <f>(IF($T50&lt;&gt;"",($T$6*$P$92)+IF($T$6=4,($P$90)+IF($T50=$T$6+$U$6,$P$91,0),0),0)+IF($U50&lt;&gt;"",($U$6*$P$92)+IF($U$6=4,($P$90)+IF($U50=$T$6+$U$6,$P$91,0),0),0))</f>
        <v>1</v>
      </c>
      <c r="U51" s="61"/>
      <c r="V51" s="62">
        <f>(IF($V50&lt;&gt;"",($V$6*$P$92)+IF($V$6=4,($P$90)+IF($V50=$V$6+$W$6,$P$91,0),0),0)+IF($W50&lt;&gt;"",($W$6*$P$92)+IF($W$6=4,($P$90)+IF($W50=$V$6+$W$6,$P$91,0),0),0))</f>
        <v>2</v>
      </c>
      <c r="W51" s="63"/>
      <c r="X51" s="64">
        <f>(IF($X50&lt;&gt;"",($X$6*$P$92)+IF($X$6=4,($P$90)+IF($X50=$X$6+$Y$6,$P$91,0),0),0)+IF($Y50&lt;&gt;"",($Y$6*$P$92)+IF($Y$6=4,($P$90)+IF($Y50=$X$6+$Y$6,$P$91,0),0),0))</f>
        <v>3</v>
      </c>
      <c r="Y51" s="61"/>
      <c r="Z51" s="62">
        <f>(IF($Z50&lt;&gt;"",($Z$6*$P$92)+IF($Z$6=4,($P$90)+IF($Z50=$Z$6+$AA$6,$P$91,0),0),0)+IF($AA50&lt;&gt;"",($AA$6*$P$92)+IF($AA$6=4,($P$90)+IF($AA50=$Z$6+$AA$6,$P$91,0),0),0))</f>
        <v>14</v>
      </c>
      <c r="AA51" s="94"/>
      <c r="AB51" s="205"/>
      <c r="AC51" s="94">
        <f>(IF($AC50&lt;&gt;"",($AC$6*$Q$92)+IF($AC$6=4,($Q$90)+IF($AC50=$AC$6+$AD$6,$Q$91,0),0),0)+IF($AD50&lt;&gt;"",($AD$6*$Q$92)+IF($AD$6=4,($Q$90)+IF($AD50=$AC$6+$AD$6,$Q$91,0),0),0))</f>
        <v>19</v>
      </c>
      <c r="AD51" s="63"/>
      <c r="AE51" s="64">
        <f>(IF($AE50&lt;&gt;"",($AE$6*$Q$92)+IF($AE$6=4,($Q$90)+IF($AE50=$AE$6+$AF$6,$Q$91,0),0),0)+IF($AF50&lt;&gt;"",($AF$6*$Q$92)+IF($AF$6=4,($Q$90)+IF($AF50=$AE$6+$AF$6,$Q$91,0),0),0))</f>
        <v>19</v>
      </c>
      <c r="AF51" s="94"/>
      <c r="AG51" s="205"/>
      <c r="AH51" s="94">
        <f>(IF($AH50&lt;&gt;"",($AH$6*$R$92)+IF($AH$6=4,($R$90)+IF($AH50=$AH$6+$AI$6,$R$91,0),0),0)+IF($AI50&lt;&gt;"",($AI$6*$R$92)+IF($AI$6=4,($R$90)+IF($AI50=$AH$6+$AI$6,$R$91,0),0),0))</f>
        <v>1</v>
      </c>
      <c r="AI51" s="65"/>
      <c r="AJ51" s="205"/>
      <c r="AK51" s="134">
        <f>MAX($AL$10:$AL$82) - AL51</f>
        <v>169</v>
      </c>
      <c r="AL51" s="205"/>
    </row>
    <row r="52" spans="1:38" s="27" customFormat="1" hidden="1" x14ac:dyDescent="0.2">
      <c r="A52" s="108"/>
      <c r="B52" s="220" t="s">
        <v>78</v>
      </c>
      <c r="C52" s="154">
        <f>IF(ISBLANK(C50),
0,
IF(C$6= 4, 1, 0))</f>
        <v>1</v>
      </c>
      <c r="D52" s="154">
        <f>IF(ISBLANK(D50),
0,
IF(D$6 = 4, 1, 0))</f>
        <v>0</v>
      </c>
      <c r="E52" s="154">
        <f>IF(ISBLANK(E50),
0,
IF(E$6= 4, 1, 0))</f>
        <v>1</v>
      </c>
      <c r="F52" s="154">
        <f>IF(ISBLANK(F50),
0,
IF(F$6 = 4, 1, 0))</f>
        <v>0</v>
      </c>
      <c r="G52" s="154">
        <f>IF(ISBLANK(G50),
0,
IF(G$6= 4, 1, 0))</f>
        <v>1</v>
      </c>
      <c r="H52" s="154">
        <f>IF(ISBLANK(H50),
0,
IF(H$6 = 4, 1, 0))</f>
        <v>0</v>
      </c>
      <c r="I52" s="154">
        <f>IF(ISBLANK(I50),
0,
IF(I$6= 4, 1, 0))</f>
        <v>1</v>
      </c>
      <c r="J52" s="154">
        <f>IF(ISBLANK(J50),
0,
IF(J$6 = 4, 1, 0))</f>
        <v>0</v>
      </c>
      <c r="K52" s="154">
        <f>IF(ISBLANK(K50),
0,
IF(K$6= 4, 1, 0))</f>
        <v>1</v>
      </c>
      <c r="L52" s="154">
        <f>IF(ISBLANK(L50),
0,
IF(L$6 = 4, 1, 0))</f>
        <v>0</v>
      </c>
      <c r="M52" s="154">
        <f>IF(ISBLANK(M50),
0,
IF(M$6= 4, 1, 0))</f>
        <v>1</v>
      </c>
      <c r="N52" s="154">
        <f>IF(ISBLANK(N50),
0,
IF(N$6 = 4, 1, 0))</f>
        <v>0</v>
      </c>
      <c r="O52" s="154">
        <f>IF(ISBLANK(O50),
0,
IF(O$6= 4, 1, 0))</f>
        <v>1</v>
      </c>
      <c r="P52" s="154">
        <f>IF(ISBLANK(P50),
0,
IF(P$6 = 4, 1, 0))</f>
        <v>0</v>
      </c>
      <c r="Q52" s="154">
        <f>IF(ISBLANK(Q50),
0,
IF(Q$6= 4, 1, 0))</f>
        <v>0</v>
      </c>
      <c r="R52" s="154">
        <f>IF(ISBLANK(R50),
0,
IF(R$6 = 4, 1, 0))</f>
        <v>0</v>
      </c>
      <c r="S52" s="239"/>
      <c r="T52" s="154">
        <f>IF(ISBLANK(T50),
0,
IF(T$6= 4, 1, 0))</f>
        <v>0</v>
      </c>
      <c r="U52" s="154">
        <f>IF(ISBLANK(U50),
0,
IF(U$6 = 4, 1, 0))</f>
        <v>0</v>
      </c>
      <c r="V52" s="154">
        <f>IF(ISBLANK(V50),
0,
IF(V$6= 4, 1, 0))</f>
        <v>0</v>
      </c>
      <c r="W52" s="154">
        <f>IF(ISBLANK(W50),
0,
IF(W$6 = 4, 1, 0))</f>
        <v>0</v>
      </c>
      <c r="X52" s="154">
        <f>IF(ISBLANK(X50),
0,
IF(X$6= 4, 1, 0))</f>
        <v>0</v>
      </c>
      <c r="Y52" s="154">
        <f>IF(ISBLANK(Y50),
0,
IF(Y$6 = 4, 1, 0))</f>
        <v>0</v>
      </c>
      <c r="Z52" s="154">
        <f>IF(ISBLANK(Z50),
0,
IF(Z$6= 4, 1, 0))</f>
        <v>1</v>
      </c>
      <c r="AA52" s="154">
        <f>IF(ISBLANK(AA50),
0,
IF(AA$6 = 4, 1, 0))</f>
        <v>0</v>
      </c>
      <c r="AB52" s="239"/>
      <c r="AC52" s="154">
        <f>IF(ISBLANK(AC50),
0,
IF(AC$6= 4, 1, 0))</f>
        <v>0</v>
      </c>
      <c r="AD52" s="154">
        <f>IF(ISBLANK(AD50),
0,
IF(AD$6 = 4, 1, 0))</f>
        <v>1</v>
      </c>
      <c r="AE52" s="154">
        <f>IF(ISBLANK(AE50),
0,
IF(AE$6= 4, 1, 0))</f>
        <v>0</v>
      </c>
      <c r="AF52" s="154">
        <f>IF(ISBLANK(AF50),
0,
IF(AF$6 = 4, 1, 0))</f>
        <v>1</v>
      </c>
      <c r="AG52" s="239"/>
      <c r="AH52" s="154">
        <f>IF(ISBLANK(AH50),
0,
IF(AH$6= 4, 1, 0))</f>
        <v>0</v>
      </c>
      <c r="AI52" s="154">
        <f>IF(ISBLANK(AI50),
0,
IF(AI$6 = 4, 1, 0))</f>
        <v>0</v>
      </c>
      <c r="AJ52" s="239"/>
      <c r="AK52" s="240">
        <f>SUM(C52:AI52)</f>
        <v>10</v>
      </c>
      <c r="AL52" s="207"/>
    </row>
    <row r="53" spans="1:38" s="27" customFormat="1" hidden="1" x14ac:dyDescent="0.2">
      <c r="A53" s="108"/>
      <c r="B53" s="220" t="s">
        <v>79</v>
      </c>
      <c r="C53" s="154">
        <f>IF(C52 = 0,
0,
IF(C50 = (C$6+D$6),1,0))</f>
        <v>0</v>
      </c>
      <c r="D53" s="154">
        <f>IF(D52 = 0,
0,
IF(D50 = (C$6+D$6),1,0))</f>
        <v>0</v>
      </c>
      <c r="E53" s="154">
        <f>IF(E52 = 0,
0,
IF(E50 = (E$6+F$6),1,0))</f>
        <v>0</v>
      </c>
      <c r="F53" s="154">
        <f>IF(F52 = 0,
0,
IF(F50 = (E$6+F$6),1,0))</f>
        <v>0</v>
      </c>
      <c r="G53" s="154">
        <f>IF(G52 = 0,
0,
IF(G50 = (G$6+H$6),1,0))</f>
        <v>1</v>
      </c>
      <c r="H53" s="154">
        <f>IF(H52 = 0,
0,
IF(H50 = (G$6+H$6),1,0))</f>
        <v>0</v>
      </c>
      <c r="I53" s="154">
        <f>IF(I52 = 0,
0,
IF(I50 = (I$6+J$6),1,0))</f>
        <v>1</v>
      </c>
      <c r="J53" s="154">
        <f>IF(J52 = 0,
0,
IF(J50 = (I$6+J$6),1,0))</f>
        <v>0</v>
      </c>
      <c r="K53" s="154">
        <f>IF(K52 = 0,
0,
IF(K50 = (K$6+L$6),1,0))</f>
        <v>0</v>
      </c>
      <c r="L53" s="154">
        <f>IF(L52 = 0,
0,
IF(L50 = (K$6+L$6),1,0))</f>
        <v>0</v>
      </c>
      <c r="M53" s="154">
        <f>IF(M52 = 0,
0,
IF(M50 = (M$6+N$6),1,0))</f>
        <v>1</v>
      </c>
      <c r="N53" s="154">
        <f>IF(N52 = 0,
0,
IF(N50 = (M$6+N$6),1,0))</f>
        <v>0</v>
      </c>
      <c r="O53" s="154">
        <f>IF(O52 = 0,
0,
IF(O50 = (O$6+P$6),1,0))</f>
        <v>0</v>
      </c>
      <c r="P53" s="154">
        <f>IF(P52 = 0,
0,
IF(P50 = (O$6+P$6),1,0))</f>
        <v>0</v>
      </c>
      <c r="Q53" s="154">
        <f>IF(Q52 = 0,
0,
IF(Q50 = (Q$6+R$6),1,0))</f>
        <v>0</v>
      </c>
      <c r="R53" s="154">
        <f>IF(R52 = 0,
0,
IF(R50 = (Q$6+R$6),1,0))</f>
        <v>0</v>
      </c>
      <c r="S53" s="239"/>
      <c r="T53" s="154">
        <f>IF(T52 = 0,
0,
IF(T50 = (T$6+U$6),1,0))</f>
        <v>0</v>
      </c>
      <c r="U53" s="154">
        <f>IF(U52 = 0,
0,
IF(U50 = (T$6+U$6),1,0))</f>
        <v>0</v>
      </c>
      <c r="V53" s="154">
        <f>IF(V52 = 0,
0,
IF(V50 = (V$6+W$6),1,0))</f>
        <v>0</v>
      </c>
      <c r="W53" s="154">
        <f>IF(W52 = 0,
0,
IF(W50 = (V$6+W$6),1,0))</f>
        <v>0</v>
      </c>
      <c r="X53" s="154">
        <f>IF(X52 = 0,
0,
IF(X50 = (X$6+Y$6),1,0))</f>
        <v>0</v>
      </c>
      <c r="Y53" s="154">
        <f>IF(Y52 = 0,
0,
IF(Y50 = (X$6+Y$6),1,0))</f>
        <v>0</v>
      </c>
      <c r="Z53" s="154">
        <f>IF(Z52 = 0,
0,
IF(Z50 = (Z$6+AA$6),1,0))</f>
        <v>0</v>
      </c>
      <c r="AA53" s="154">
        <f>IF(AA52 = 0,
0,
IF(AA50 = (Z$6+AA$6),1,0))</f>
        <v>0</v>
      </c>
      <c r="AB53" s="239"/>
      <c r="AC53" s="154">
        <f>IF(AC52 = 0,
0,
IF(AC50 = (AC$6+AD$6),1,0))</f>
        <v>0</v>
      </c>
      <c r="AD53" s="154">
        <f>IF(AD52 = 0,
0,
IF(AD50 = (AC$6+AD$6),1,0))</f>
        <v>0</v>
      </c>
      <c r="AE53" s="154">
        <f>IF(AE52 = 0,
0,
IF(AE50 = (AE$6+AF$6),1,0))</f>
        <v>0</v>
      </c>
      <c r="AF53" s="154">
        <f>IF(AF52 = 0,
0,
IF(AF50 = (AE$6+AF$6),1,0))</f>
        <v>0</v>
      </c>
      <c r="AG53" s="239"/>
      <c r="AH53" s="154">
        <f>IF(AH52 = 0,
0,
IF(AH50 = (AH$6+AI$6),1,0))</f>
        <v>0</v>
      </c>
      <c r="AI53" s="154">
        <f>IF(AI52 = 0,
0,
IF(AI50 = (AH$6+AI$6),1,0))</f>
        <v>0</v>
      </c>
      <c r="AJ53" s="239"/>
      <c r="AK53" s="240">
        <f>SUM(C53:AI53)</f>
        <v>3</v>
      </c>
      <c r="AL53" s="207"/>
    </row>
    <row r="54" spans="1:38" s="27" customFormat="1" ht="12.6" customHeight="1" x14ac:dyDescent="0.2">
      <c r="A54" s="149">
        <f>RANK(AL54,$AL$10:$AL$82,)</f>
        <v>12</v>
      </c>
      <c r="B54" s="93" t="s">
        <v>76</v>
      </c>
      <c r="C54" s="47">
        <v>6</v>
      </c>
      <c r="D54" s="46"/>
      <c r="E54" s="156">
        <v>7</v>
      </c>
      <c r="F54" s="46"/>
      <c r="G54" s="49"/>
      <c r="H54" s="48">
        <v>7</v>
      </c>
      <c r="I54" s="156">
        <v>6</v>
      </c>
      <c r="J54" s="48"/>
      <c r="K54" s="50">
        <v>5</v>
      </c>
      <c r="L54" s="48"/>
      <c r="M54" s="45">
        <v>6</v>
      </c>
      <c r="N54" s="46"/>
      <c r="O54" s="45">
        <v>7</v>
      </c>
      <c r="P54" s="46"/>
      <c r="Q54" s="49">
        <v>6</v>
      </c>
      <c r="R54" s="51"/>
      <c r="S54" s="206">
        <f>SUM(C55:R55)</f>
        <v>60</v>
      </c>
      <c r="T54" s="47">
        <v>6</v>
      </c>
      <c r="U54" s="48"/>
      <c r="V54" s="45"/>
      <c r="W54" s="48">
        <v>7</v>
      </c>
      <c r="X54" s="50">
        <v>6</v>
      </c>
      <c r="Y54" s="46"/>
      <c r="Z54" s="151">
        <v>6</v>
      </c>
      <c r="AA54" s="48"/>
      <c r="AB54" s="206">
        <f>SUM(T55:AA55)</f>
        <v>37</v>
      </c>
      <c r="AC54" s="49">
        <v>6</v>
      </c>
      <c r="AD54" s="48"/>
      <c r="AE54" s="50"/>
      <c r="AF54" s="48">
        <v>6</v>
      </c>
      <c r="AG54" s="206">
        <f>SUM(AC55:AF55)</f>
        <v>22</v>
      </c>
      <c r="AH54" s="113"/>
      <c r="AI54" s="58">
        <v>6</v>
      </c>
      <c r="AJ54" s="206">
        <f>AH55</f>
        <v>1</v>
      </c>
      <c r="AK54" s="134">
        <f>MAX($AL$10:$AL$82) - AL54</f>
        <v>49</v>
      </c>
      <c r="AL54" s="206">
        <f>$S54+$AB54+$AG54+$AJ54</f>
        <v>120</v>
      </c>
    </row>
    <row r="55" spans="1:38" s="27" customFormat="1" ht="12.75" hidden="1" customHeight="1" x14ac:dyDescent="0.2">
      <c r="A55" s="149" t="e">
        <f>RANK(AL55,$AL$10:$AL$82,)</f>
        <v>#N/A</v>
      </c>
      <c r="B55" s="107"/>
      <c r="C55" s="83">
        <f>(IF($C54&lt;&gt;"",($C$6*$O$92)+IF($C$6=4,($O$90)+IF($C54=$C$6+$D$6,$O$91,0),0),0)+IF($D54&lt;&gt;"",($D$6*$O$92)+IF($D$6=4,($O$90)+IF($D54=$C$6+$D$6,$O$91,0),0),0))</f>
        <v>9</v>
      </c>
      <c r="D55" s="84"/>
      <c r="E55" s="85">
        <f>(IF($E54&lt;&gt;"",($E$6*$O$92)+IF($E$6=4,($O$90)+IF($E54=$E$6+$F$6,$O$91,0),0),0)+IF($F54&lt;&gt;"",($F$6*$O$92)+IF($F$6=4,($O$90)+IF($F54=$E$6+$F$6,$O$91,0),0),0))</f>
        <v>11</v>
      </c>
      <c r="F55" s="84"/>
      <c r="G55" s="85">
        <f>(IF($G54&lt;&gt;"",($G$6*$O$92)+IF($G$6=4,($O$90)+IF($G54=$G$6+$H$6,$O$91,0),0),0)+IF($H54&lt;&gt;"",($H$6*$O$92)+IF($H$6=4,($O$90)+IF($H54=$G$6+$H$6,$O$91,0),0),0))</f>
        <v>2</v>
      </c>
      <c r="H55" s="84"/>
      <c r="I55" s="157">
        <f>(IF($I54&lt;&gt;"",($I$6*$O$92)+IF($I$6=4,($O$90)+IF($I54=$I$6+$J$6,$O$91,0),0),0)+IF($J54&lt;&gt;"",($J$6*$O$92)+IF($J$6=4,($O$90)+IF($J54=$I$6+$J$6,$O$91,0),0),0))</f>
        <v>11</v>
      </c>
      <c r="J55" s="86"/>
      <c r="K55" s="87">
        <f>(IF($K54&lt;&gt;"",($K$6*$O$92)+IF($K$6=4,($O$90)+IF($K54=$K$6+$L$6,$O$91,0),0),0)+IF($L54&lt;&gt;"",($L$6*$O$92)+IF($L$6=4,($O$90)+IF($L54=$K$6+$L$6,$O$91,0),0),0))</f>
        <v>9</v>
      </c>
      <c r="L55" s="84"/>
      <c r="M55" s="85">
        <f>(IF($M54&lt;&gt;"",($M$6*$O$92)+IF($M$6=4,($O$90)+IF($M54=$M$6+$N$6,$O$91,0),0),0)+IF($N54&lt;&gt;"",($N$6*$O$92)+IF($N$6=4,($O$90)+IF($N54=$M$6+$N$6,$O$91,0),0),0))</f>
        <v>9</v>
      </c>
      <c r="N55" s="84"/>
      <c r="O55" s="85">
        <f>(IF($O54&lt;&gt;"",($O$6*$O$92)+IF($O$6=4,($O$90)+IF($O54=$O$6+$P$6,$O$91,0),0),0)+IF($P54&lt;&gt;"",($P$6*$O$92)+IF($P$6=4,($O$90)+IF($P54=$O$6+$P$6,$O$91,0),0),0))</f>
        <v>9</v>
      </c>
      <c r="P55" s="84"/>
      <c r="Q55" s="85">
        <f>(IF($Q54&lt;&gt;"",($Q$6*$O$92)+IF($Q$6=4,($O$90)+IF($Q54=$Q$6+$R$6,$O$91,0),0),0)+IF($R54&lt;&gt;"",($R$6*$O$92)+IF($R$6=4,($O$90)+IF($R54=$Q$6+$R$6,$O$91,0),0),0))</f>
        <v>0</v>
      </c>
      <c r="R55" s="88"/>
      <c r="S55" s="205"/>
      <c r="T55" s="60">
        <f>(IF($T54&lt;&gt;"",($T$6*$P$92)+IF($T$6=4,($P$90)+IF($T54=$T$6+$U$6,$P$91,0),0),0)+IF($U54&lt;&gt;"",($U$6*$P$92)+IF($U$6=4,($P$90)+IF($U54=$T$6+$U$6,$P$91,0),0),0))</f>
        <v>14</v>
      </c>
      <c r="U55" s="61"/>
      <c r="V55" s="62">
        <f>(IF($V54&lt;&gt;"",($V$6*$P$92)+IF($V$6=4,($P$90)+IF($V54=$V$6+$W$6,$P$91,0),0),0)+IF($W54&lt;&gt;"",($W$6*$P$92)+IF($W$6=4,($P$90)+IF($W54=$V$6+$W$6,$P$91,0),0),0))</f>
        <v>2</v>
      </c>
      <c r="W55" s="63"/>
      <c r="X55" s="64">
        <f>(IF($X54&lt;&gt;"",($X$6*$P$92)+IF($X$6=4,($P$90)+IF($X54=$X$6+$Y$6,$P$91,0),0),0)+IF($Y54&lt;&gt;"",($Y$6*$P$92)+IF($Y$6=4,($P$90)+IF($Y54=$X$6+$Y$6,$P$91,0),0),0))</f>
        <v>3</v>
      </c>
      <c r="Y55" s="61"/>
      <c r="Z55" s="62">
        <f>(IF($Z54&lt;&gt;"",($Z$6*$P$92)+IF($Z$6=4,($P$90)+IF($Z54=$Z$6+$AA$6,$P$91,0),0),0)+IF($AA54&lt;&gt;"",($AA$6*$P$92)+IF($AA$6=4,($P$90)+IF($AA54=$Z$6+$AA$6,$P$91,0),0),0))</f>
        <v>18</v>
      </c>
      <c r="AA55" s="94"/>
      <c r="AB55" s="205"/>
      <c r="AC55" s="94">
        <f>(IF($AC54&lt;&gt;"",($AC$6*$Q$92)+IF($AC$6=4,($Q$90)+IF($AC54=$AC$6+$AD$6,$Q$91,0),0),0)+IF($AD54&lt;&gt;"",($AD$6*$Q$92)+IF($AD$6=4,($Q$90)+IF($AD54=$AC$6+$AD$6,$Q$91,0),0),0))</f>
        <v>3</v>
      </c>
      <c r="AD55" s="63"/>
      <c r="AE55" s="64">
        <f>(IF($AE54&lt;&gt;"",($AE$6*$Q$92)+IF($AE$6=4,($Q$90)+IF($AE54=$AE$6+$AF$6,$Q$91,0),0),0)+IF($AF54&lt;&gt;"",($AF$6*$Q$92)+IF($AF$6=4,($Q$90)+IF($AF54=$AE$6+$AF$6,$Q$91,0),0),0))</f>
        <v>19</v>
      </c>
      <c r="AF55" s="94"/>
      <c r="AG55" s="205"/>
      <c r="AH55" s="94">
        <f>(IF($AH54&lt;&gt;"",($AH$6*$R$92)+IF($AH$6=4,($R$90)+IF($AH54=$AH$6+$AI$6,$R$91,0),0),0)+IF($AI54&lt;&gt;"",($AI$6*$R$92)+IF($AI$6=4,($R$90)+IF($AI54=$AH$6+$AI$6,$R$91,0),0),0))</f>
        <v>1</v>
      </c>
      <c r="AI55" s="65"/>
      <c r="AJ55" s="205"/>
      <c r="AK55" s="134">
        <f>MAX($AL$10:$AL$82) - AL55</f>
        <v>169</v>
      </c>
      <c r="AL55" s="205"/>
    </row>
    <row r="56" spans="1:38" s="27" customFormat="1" hidden="1" x14ac:dyDescent="0.2">
      <c r="A56" s="108"/>
      <c r="B56" s="220" t="s">
        <v>78</v>
      </c>
      <c r="C56" s="154">
        <f>IF(ISBLANK(C54),
0,
IF(C$6= 4, 1, 0))</f>
        <v>1</v>
      </c>
      <c r="D56" s="154">
        <f>IF(ISBLANK(D54),
0,
IF(D$6 = 4, 1, 0))</f>
        <v>0</v>
      </c>
      <c r="E56" s="154">
        <f>IF(ISBLANK(E54),
0,
IF(E$6= 4, 1, 0))</f>
        <v>1</v>
      </c>
      <c r="F56" s="154">
        <f>IF(ISBLANK(F54),
0,
IF(F$6 = 4, 1, 0))</f>
        <v>0</v>
      </c>
      <c r="G56" s="154">
        <f>IF(ISBLANK(G54),
0,
IF(G$6= 4, 1, 0))</f>
        <v>0</v>
      </c>
      <c r="H56" s="154">
        <f>IF(ISBLANK(H54),
0,
IF(H$6 = 4, 1, 0))</f>
        <v>0</v>
      </c>
      <c r="I56" s="154">
        <f>IF(ISBLANK(I54),
0,
IF(I$6= 4, 1, 0))</f>
        <v>1</v>
      </c>
      <c r="J56" s="154">
        <f>IF(ISBLANK(J54),
0,
IF(J$6 = 4, 1, 0))</f>
        <v>0</v>
      </c>
      <c r="K56" s="154">
        <f>IF(ISBLANK(K54),
0,
IF(K$6= 4, 1, 0))</f>
        <v>1</v>
      </c>
      <c r="L56" s="154">
        <f>IF(ISBLANK(L54),
0,
IF(L$6 = 4, 1, 0))</f>
        <v>0</v>
      </c>
      <c r="M56" s="154">
        <f>IF(ISBLANK(M54),
0,
IF(M$6= 4, 1, 0))</f>
        <v>1</v>
      </c>
      <c r="N56" s="154">
        <f>IF(ISBLANK(N54),
0,
IF(N$6 = 4, 1, 0))</f>
        <v>0</v>
      </c>
      <c r="O56" s="154">
        <f>IF(ISBLANK(O54),
0,
IF(O$6= 4, 1, 0))</f>
        <v>1</v>
      </c>
      <c r="P56" s="154">
        <f>IF(ISBLANK(P54),
0,
IF(P$6 = 4, 1, 0))</f>
        <v>0</v>
      </c>
      <c r="Q56" s="154">
        <f>IF(ISBLANK(Q54),
0,
IF(Q$6= 4, 1, 0))</f>
        <v>0</v>
      </c>
      <c r="R56" s="154">
        <f>IF(ISBLANK(R54),
0,
IF(R$6 = 4, 1, 0))</f>
        <v>0</v>
      </c>
      <c r="S56" s="239"/>
      <c r="T56" s="154">
        <f>IF(ISBLANK(T54),
0,
IF(T$6= 4, 1, 0))</f>
        <v>1</v>
      </c>
      <c r="U56" s="154">
        <f>IF(ISBLANK(U54),
0,
IF(U$6 = 4, 1, 0))</f>
        <v>0</v>
      </c>
      <c r="V56" s="154">
        <f>IF(ISBLANK(V54),
0,
IF(V$6= 4, 1, 0))</f>
        <v>0</v>
      </c>
      <c r="W56" s="154">
        <f>IF(ISBLANK(W54),
0,
IF(W$6 = 4, 1, 0))</f>
        <v>0</v>
      </c>
      <c r="X56" s="154">
        <f>IF(ISBLANK(X54),
0,
IF(X$6= 4, 1, 0))</f>
        <v>0</v>
      </c>
      <c r="Y56" s="154">
        <f>IF(ISBLANK(Y54),
0,
IF(Y$6 = 4, 1, 0))</f>
        <v>0</v>
      </c>
      <c r="Z56" s="154">
        <f>IF(ISBLANK(Z54),
0,
IF(Z$6= 4, 1, 0))</f>
        <v>1</v>
      </c>
      <c r="AA56" s="154">
        <f>IF(ISBLANK(AA54),
0,
IF(AA$6 = 4, 1, 0))</f>
        <v>0</v>
      </c>
      <c r="AB56" s="239"/>
      <c r="AC56" s="154">
        <f>IF(ISBLANK(AC54),
0,
IF(AC$6= 4, 1, 0))</f>
        <v>0</v>
      </c>
      <c r="AD56" s="154">
        <f>IF(ISBLANK(AD54),
0,
IF(AD$6 = 4, 1, 0))</f>
        <v>0</v>
      </c>
      <c r="AE56" s="154">
        <f>IF(ISBLANK(AE54),
0,
IF(AE$6= 4, 1, 0))</f>
        <v>0</v>
      </c>
      <c r="AF56" s="154">
        <f>IF(ISBLANK(AF54),
0,
IF(AF$6 = 4, 1, 0))</f>
        <v>1</v>
      </c>
      <c r="AG56" s="239"/>
      <c r="AH56" s="154">
        <f>IF(ISBLANK(AH54),
0,
IF(AH$6= 4, 1, 0))</f>
        <v>0</v>
      </c>
      <c r="AI56" s="154">
        <f>IF(ISBLANK(AI54),
0,
IF(AI$6 = 4, 1, 0))</f>
        <v>0</v>
      </c>
      <c r="AJ56" s="239"/>
      <c r="AK56" s="240">
        <f>SUM(C56:AI56)</f>
        <v>9</v>
      </c>
      <c r="AL56" s="207"/>
    </row>
    <row r="57" spans="1:38" s="27" customFormat="1" hidden="1" x14ac:dyDescent="0.2">
      <c r="A57" s="108"/>
      <c r="B57" s="220" t="s">
        <v>79</v>
      </c>
      <c r="C57" s="154">
        <f>IF(C56 = 0,
0,
IF(C54 = (C$6+D$6),1,0))</f>
        <v>0</v>
      </c>
      <c r="D57" s="154">
        <f>IF(D56 = 0,
0,
IF(D54 = (C$6+D$6),1,0))</f>
        <v>0</v>
      </c>
      <c r="E57" s="154">
        <f>IF(E56 = 0,
0,
IF(E54 = (E$6+F$6),1,0))</f>
        <v>1</v>
      </c>
      <c r="F57" s="154">
        <f>IF(F56 = 0,
0,
IF(F54 = (E$6+F$6),1,0))</f>
        <v>0</v>
      </c>
      <c r="G57" s="154">
        <f>IF(G56 = 0,
0,
IF(G54 = (G$6+H$6),1,0))</f>
        <v>0</v>
      </c>
      <c r="H57" s="154">
        <f>IF(H56 = 0,
0,
IF(H54 = (G$6+H$6),1,0))</f>
        <v>0</v>
      </c>
      <c r="I57" s="154">
        <f>IF(I56 = 0,
0,
IF(I54 = (I$6+J$6),1,0))</f>
        <v>1</v>
      </c>
      <c r="J57" s="154">
        <f>IF(J56 = 0,
0,
IF(J54 = (I$6+J$6),1,0))</f>
        <v>0</v>
      </c>
      <c r="K57" s="154">
        <f>IF(K56 = 0,
0,
IF(K54 = (K$6+L$6),1,0))</f>
        <v>0</v>
      </c>
      <c r="L57" s="154">
        <f>IF(L56 = 0,
0,
IF(L54 = (K$6+L$6),1,0))</f>
        <v>0</v>
      </c>
      <c r="M57" s="154">
        <f>IF(M56 = 0,
0,
IF(M54 = (M$6+N$6),1,0))</f>
        <v>0</v>
      </c>
      <c r="N57" s="154">
        <f>IF(N56 = 0,
0,
IF(N54 = (M$6+N$6),1,0))</f>
        <v>0</v>
      </c>
      <c r="O57" s="154">
        <f>IF(O56 = 0,
0,
IF(O54 = (O$6+P$6),1,0))</f>
        <v>0</v>
      </c>
      <c r="P57" s="154">
        <f>IF(P56 = 0,
0,
IF(P54 = (O$6+P$6),1,0))</f>
        <v>0</v>
      </c>
      <c r="Q57" s="154">
        <f>IF(Q56 = 0,
0,
IF(Q54 = (Q$6+R$6),1,0))</f>
        <v>0</v>
      </c>
      <c r="R57" s="154">
        <f>IF(R56 = 0,
0,
IF(R54 = (Q$6+R$6),1,0))</f>
        <v>0</v>
      </c>
      <c r="S57" s="239"/>
      <c r="T57" s="154">
        <f>IF(T56 = 0,
0,
IF(T54 = (T$6+U$6),1,0))</f>
        <v>0</v>
      </c>
      <c r="U57" s="154">
        <f>IF(U56 = 0,
0,
IF(U54 = (T$6+U$6),1,0))</f>
        <v>0</v>
      </c>
      <c r="V57" s="154">
        <f>IF(V56 = 0,
0,
IF(V54 = (V$6+W$6),1,0))</f>
        <v>0</v>
      </c>
      <c r="W57" s="154">
        <f>IF(W56 = 0,
0,
IF(W54 = (V$6+W$6),1,0))</f>
        <v>0</v>
      </c>
      <c r="X57" s="154">
        <f>IF(X56 = 0,
0,
IF(X54 = (X$6+Y$6),1,0))</f>
        <v>0</v>
      </c>
      <c r="Y57" s="154">
        <f>IF(Y56 = 0,
0,
IF(Y54 = (X$6+Y$6),1,0))</f>
        <v>0</v>
      </c>
      <c r="Z57" s="154">
        <f>IF(Z56 = 0,
0,
IF(Z54 = (Z$6+AA$6),1,0))</f>
        <v>1</v>
      </c>
      <c r="AA57" s="154">
        <f>IF(AA56 = 0,
0,
IF(AA54 = (Z$6+AA$6),1,0))</f>
        <v>0</v>
      </c>
      <c r="AB57" s="239"/>
      <c r="AC57" s="154">
        <f>IF(AC56 = 0,
0,
IF(AC54 = (AC$6+AD$6),1,0))</f>
        <v>0</v>
      </c>
      <c r="AD57" s="154">
        <f>IF(AD56 = 0,
0,
IF(AD54 = (AC$6+AD$6),1,0))</f>
        <v>0</v>
      </c>
      <c r="AE57" s="154">
        <f>IF(AE56 = 0,
0,
IF(AE54 = (AE$6+AF$6),1,0))</f>
        <v>0</v>
      </c>
      <c r="AF57" s="154">
        <f>IF(AF56 = 0,
0,
IF(AF54 = (AE$6+AF$6),1,0))</f>
        <v>0</v>
      </c>
      <c r="AG57" s="239"/>
      <c r="AH57" s="154">
        <f>IF(AH56 = 0,
0,
IF(AH54 = (AH$6+AI$6),1,0))</f>
        <v>0</v>
      </c>
      <c r="AI57" s="154">
        <f>IF(AI56 = 0,
0,
IF(AI54 = (AH$6+AI$6),1,0))</f>
        <v>0</v>
      </c>
      <c r="AJ57" s="239"/>
      <c r="AK57" s="240">
        <f>SUM(C57:AI57)</f>
        <v>3</v>
      </c>
      <c r="AL57" s="207"/>
    </row>
    <row r="58" spans="1:38" s="27" customFormat="1" ht="12.6" customHeight="1" x14ac:dyDescent="0.2">
      <c r="A58" s="173">
        <f>RANK(AL58,$AL$10:$AL$82,)</f>
        <v>13</v>
      </c>
      <c r="B58" s="174" t="s">
        <v>73</v>
      </c>
      <c r="C58" s="184">
        <v>6</v>
      </c>
      <c r="D58" s="176"/>
      <c r="E58" s="180">
        <v>6</v>
      </c>
      <c r="F58" s="176"/>
      <c r="G58" s="182">
        <v>7</v>
      </c>
      <c r="H58" s="179"/>
      <c r="I58" s="180">
        <v>5</v>
      </c>
      <c r="J58" s="179"/>
      <c r="K58" s="185">
        <v>5</v>
      </c>
      <c r="L58" s="179"/>
      <c r="M58" s="177">
        <v>5</v>
      </c>
      <c r="N58" s="176"/>
      <c r="O58" s="180"/>
      <c r="P58" s="176">
        <v>6</v>
      </c>
      <c r="Q58" s="182"/>
      <c r="R58" s="183">
        <v>6</v>
      </c>
      <c r="S58" s="210">
        <f>SUM(C59:R59)</f>
        <v>65</v>
      </c>
      <c r="T58" s="184"/>
      <c r="U58" s="179">
        <v>7</v>
      </c>
      <c r="V58" s="180"/>
      <c r="W58" s="179">
        <v>7</v>
      </c>
      <c r="X58" s="185">
        <v>7</v>
      </c>
      <c r="Y58" s="176"/>
      <c r="Z58" s="182"/>
      <c r="AA58" s="179">
        <v>7</v>
      </c>
      <c r="AB58" s="210">
        <f>SUM(T59:AA59)</f>
        <v>8</v>
      </c>
      <c r="AC58" s="182"/>
      <c r="AD58" s="179">
        <v>6</v>
      </c>
      <c r="AE58" s="185">
        <v>5</v>
      </c>
      <c r="AF58" s="179"/>
      <c r="AG58" s="210">
        <f>SUM(AC59:AF59)</f>
        <v>20</v>
      </c>
      <c r="AH58" s="191">
        <v>6</v>
      </c>
      <c r="AI58" s="190"/>
      <c r="AJ58" s="210">
        <f>AH59</f>
        <v>24</v>
      </c>
      <c r="AK58" s="188">
        <f>MAX($AL$10:$AL$82) - AL58</f>
        <v>52</v>
      </c>
      <c r="AL58" s="210">
        <f>$S58+$AB58+$AG58+$AJ58</f>
        <v>117</v>
      </c>
    </row>
    <row r="59" spans="1:38" s="27" customFormat="1" ht="12.75" hidden="1" customHeight="1" x14ac:dyDescent="0.2">
      <c r="A59" s="149" t="e">
        <f>RANK(AL59,$AL$10:$AL$82,)</f>
        <v>#N/A</v>
      </c>
      <c r="B59" s="107"/>
      <c r="C59" s="83">
        <f>(IF($C58&lt;&gt;"",($C$6*$O$92)+IF($C$6=4,($O$90)+IF($C58=$C$6+$D$6,$O$91,0),0),0)+IF($D58&lt;&gt;"",($D$6*$O$92)+IF($D$6=4,($O$90)+IF($D58=$C$6+$D$6,$O$91,0),0),0))</f>
        <v>9</v>
      </c>
      <c r="D59" s="84"/>
      <c r="E59" s="85">
        <f>(IF($E58&lt;&gt;"",($E$6*$O$92)+IF($E$6=4,($O$90)+IF($E58=$E$6+$F$6,$O$91,0),0),0)+IF($F58&lt;&gt;"",($F$6*$O$92)+IF($F$6=4,($O$90)+IF($F58=$E$6+$F$6,$O$91,0),0),0))</f>
        <v>9</v>
      </c>
      <c r="F59" s="84"/>
      <c r="G59" s="157">
        <f>(IF($G58&lt;&gt;"",($G$6*$O$92)+IF($G$6=4,($O$90)+IF($G58=$G$6+$H$6,$O$91,0),0),0)+IF($H58&lt;&gt;"",($H$6*$O$92)+IF($H$6=4,($O$90)+IF($H58=$G$6+$H$6,$O$91,0),0),0))</f>
        <v>9</v>
      </c>
      <c r="H59" s="84"/>
      <c r="I59" s="85">
        <f>(IF($I58&lt;&gt;"",($I$6*$O$92)+IF($I$6=4,($O$90)+IF($I58=$I$6+$J$6,$O$91,0),0),0)+IF($J58&lt;&gt;"",($J$6*$O$92)+IF($J$6=4,($O$90)+IF($J58=$I$6+$J$6,$O$91,0),0),0))</f>
        <v>9</v>
      </c>
      <c r="J59" s="86"/>
      <c r="K59" s="87">
        <f>(IF($K58&lt;&gt;"",($K$6*$O$92)+IF($K$6=4,($O$90)+IF($K58=$K$6+$L$6,$O$91,0),0),0)+IF($L58&lt;&gt;"",($L$6*$O$92)+IF($L$6=4,($O$90)+IF($L58=$K$6+$L$6,$O$91,0),0),0))</f>
        <v>9</v>
      </c>
      <c r="L59" s="84"/>
      <c r="M59" s="85">
        <f>(IF($M58&lt;&gt;"",($M$6*$O$92)+IF($M$6=4,($O$90)+IF($M58=$M$6+$N$6,$O$91,0),0),0)+IF($N58&lt;&gt;"",($N$6*$O$92)+IF($N$6=4,($O$90)+IF($N58=$M$6+$N$6,$O$91,0),0),0))</f>
        <v>11</v>
      </c>
      <c r="N59" s="84"/>
      <c r="O59" s="85">
        <f>(IF($O58&lt;&gt;"",($O$6*$O$92)+IF($O$6=4,($O$90)+IF($O58=$O$6+$P$6,$O$91,0),0),0)+IF($P58&lt;&gt;"",($P$6*$O$92)+IF($P$6=4,($O$90)+IF($P58=$O$6+$P$6,$O$91,0),0),0))</f>
        <v>0</v>
      </c>
      <c r="P59" s="84"/>
      <c r="Q59" s="85">
        <f>(IF($Q58&lt;&gt;"",($Q$6*$O$92)+IF($Q$6=4,($O$90)+IF($Q58=$Q$6+$R$6,$O$91,0),0),0)+IF($R58&lt;&gt;"",($R$6*$O$92)+IF($R$6=4,($O$90)+IF($R58=$Q$6+$R$6,$O$91,0),0),0))</f>
        <v>9</v>
      </c>
      <c r="R59" s="88"/>
      <c r="S59" s="205"/>
      <c r="T59" s="60">
        <f>(IF($T58&lt;&gt;"",($T$6*$P$92)+IF($T$6=4,($P$90)+IF($T58=$T$6+$U$6,$P$91,0),0),0)+IF($U58&lt;&gt;"",($U$6*$P$92)+IF($U$6=4,($P$90)+IF($U58=$T$6+$U$6,$P$91,0),0),0))</f>
        <v>1</v>
      </c>
      <c r="U59" s="61"/>
      <c r="V59" s="62">
        <f>(IF($V58&lt;&gt;"",($V$6*$P$92)+IF($V$6=4,($P$90)+IF($V58=$V$6+$W$6,$P$91,0),0),0)+IF($W58&lt;&gt;"",($W$6*$P$92)+IF($W$6=4,($P$90)+IF($W58=$V$6+$W$6,$P$91,0),0),0))</f>
        <v>2</v>
      </c>
      <c r="W59" s="63"/>
      <c r="X59" s="64">
        <f>(IF($X58&lt;&gt;"",($X$6*$P$92)+IF($X$6=4,($P$90)+IF($X58=$X$6+$Y$6,$P$91,0),0),0)+IF($Y58&lt;&gt;"",($Y$6*$P$92)+IF($Y$6=4,($P$90)+IF($Y58=$X$6+$Y$6,$P$91,0),0),0))</f>
        <v>3</v>
      </c>
      <c r="Y59" s="61"/>
      <c r="Z59" s="62">
        <f>(IF($Z58&lt;&gt;"",($Z$6*$P$92)+IF($Z$6=4,($P$90)+IF($Z58=$Z$6+$AA$6,$P$91,0),0),0)+IF($AA58&lt;&gt;"",($AA$6*$P$92)+IF($AA$6=4,($P$90)+IF($AA58=$Z$6+$AA$6,$P$91,0),0),0))</f>
        <v>2</v>
      </c>
      <c r="AA59" s="94"/>
      <c r="AB59" s="205"/>
      <c r="AC59" s="94">
        <f>(IF($AC58&lt;&gt;"",($AC$6*$Q$92)+IF($AC$6=4,($Q$90)+IF($AC58=$AC$6+$AD$6,$Q$91,0),0),0)+IF($AD58&lt;&gt;"",($AD$6*$Q$92)+IF($AD$6=4,($Q$90)+IF($AD58=$AC$6+$AD$6,$Q$91,0),0),0))</f>
        <v>19</v>
      </c>
      <c r="AD59" s="63"/>
      <c r="AE59" s="64">
        <f>(IF($AE58&lt;&gt;"",($AE$6*$Q$92)+IF($AE$6=4,($Q$90)+IF($AE58=$AE$6+$AF$6,$Q$91,0),0),0)+IF($AF58&lt;&gt;"",($AF$6*$Q$92)+IF($AF$6=4,($Q$90)+IF($AF58=$AE$6+$AF$6,$Q$91,0),0),0))</f>
        <v>1</v>
      </c>
      <c r="AF59" s="94"/>
      <c r="AG59" s="205"/>
      <c r="AH59" s="94">
        <f>(IF($AH58&lt;&gt;"",($AH$6*$R$92)+IF($AH$6=4,($R$90)+IF($AH58=$AH$6+$AI$6,$R$91,0),0),0)+IF($AI58&lt;&gt;"",($AI$6*$R$92)+IF($AI$6=4,($R$90)+IF($AI58=$AH$6+$AI$6,$R$91,0),0),0))</f>
        <v>24</v>
      </c>
      <c r="AI59" s="65"/>
      <c r="AJ59" s="205"/>
      <c r="AK59" s="134">
        <f>MAX($AL$10:$AL$82) - AL59</f>
        <v>169</v>
      </c>
      <c r="AL59" s="205"/>
    </row>
    <row r="60" spans="1:38" s="27" customFormat="1" hidden="1" x14ac:dyDescent="0.2">
      <c r="A60" s="108"/>
      <c r="B60" s="220" t="s">
        <v>78</v>
      </c>
      <c r="C60" s="154">
        <f>IF(ISBLANK(C58),
0,
IF(C$6= 4, 1, 0))</f>
        <v>1</v>
      </c>
      <c r="D60" s="154">
        <f>IF(ISBLANK(D58),
0,
IF(D$6 = 4, 1, 0))</f>
        <v>0</v>
      </c>
      <c r="E60" s="154">
        <f>IF(ISBLANK(E58),
0,
IF(E$6= 4, 1, 0))</f>
        <v>1</v>
      </c>
      <c r="F60" s="154">
        <f>IF(ISBLANK(F58),
0,
IF(F$6 = 4, 1, 0))</f>
        <v>0</v>
      </c>
      <c r="G60" s="154">
        <f>IF(ISBLANK(G58),
0,
IF(G$6= 4, 1, 0))</f>
        <v>1</v>
      </c>
      <c r="H60" s="154">
        <f>IF(ISBLANK(H58),
0,
IF(H$6 = 4, 1, 0))</f>
        <v>0</v>
      </c>
      <c r="I60" s="154">
        <f>IF(ISBLANK(I58),
0,
IF(I$6= 4, 1, 0))</f>
        <v>1</v>
      </c>
      <c r="J60" s="154">
        <f>IF(ISBLANK(J58),
0,
IF(J$6 = 4, 1, 0))</f>
        <v>0</v>
      </c>
      <c r="K60" s="154">
        <f>IF(ISBLANK(K58),
0,
IF(K$6= 4, 1, 0))</f>
        <v>1</v>
      </c>
      <c r="L60" s="154">
        <f>IF(ISBLANK(L58),
0,
IF(L$6 = 4, 1, 0))</f>
        <v>0</v>
      </c>
      <c r="M60" s="154">
        <f>IF(ISBLANK(M58),
0,
IF(M$6= 4, 1, 0))</f>
        <v>1</v>
      </c>
      <c r="N60" s="154">
        <f>IF(ISBLANK(N58),
0,
IF(N$6 = 4, 1, 0))</f>
        <v>0</v>
      </c>
      <c r="O60" s="154">
        <f>IF(ISBLANK(O58),
0,
IF(O$6= 4, 1, 0))</f>
        <v>0</v>
      </c>
      <c r="P60" s="154">
        <f>IF(ISBLANK(P58),
0,
IF(P$6 = 4, 1, 0))</f>
        <v>0</v>
      </c>
      <c r="Q60" s="154">
        <f>IF(ISBLANK(Q58),
0,
IF(Q$6= 4, 1, 0))</f>
        <v>0</v>
      </c>
      <c r="R60" s="154">
        <f>IF(ISBLANK(R58),
0,
IF(R$6 = 4, 1, 0))</f>
        <v>1</v>
      </c>
      <c r="S60" s="239"/>
      <c r="T60" s="154">
        <f>IF(ISBLANK(T58),
0,
IF(T$6= 4, 1, 0))</f>
        <v>0</v>
      </c>
      <c r="U60" s="154">
        <f>IF(ISBLANK(U58),
0,
IF(U$6 = 4, 1, 0))</f>
        <v>0</v>
      </c>
      <c r="V60" s="154">
        <f>IF(ISBLANK(V58),
0,
IF(V$6= 4, 1, 0))</f>
        <v>0</v>
      </c>
      <c r="W60" s="154">
        <f>IF(ISBLANK(W58),
0,
IF(W$6 = 4, 1, 0))</f>
        <v>0</v>
      </c>
      <c r="X60" s="154">
        <f>IF(ISBLANK(X58),
0,
IF(X$6= 4, 1, 0))</f>
        <v>0</v>
      </c>
      <c r="Y60" s="154">
        <f>IF(ISBLANK(Y58),
0,
IF(Y$6 = 4, 1, 0))</f>
        <v>0</v>
      </c>
      <c r="Z60" s="154">
        <f>IF(ISBLANK(Z58),
0,
IF(Z$6= 4, 1, 0))</f>
        <v>0</v>
      </c>
      <c r="AA60" s="154">
        <f>IF(ISBLANK(AA58),
0,
IF(AA$6 = 4, 1, 0))</f>
        <v>0</v>
      </c>
      <c r="AB60" s="239"/>
      <c r="AC60" s="154">
        <f>IF(ISBLANK(AC58),
0,
IF(AC$6= 4, 1, 0))</f>
        <v>0</v>
      </c>
      <c r="AD60" s="154">
        <f>IF(ISBLANK(AD58),
0,
IF(AD$6 = 4, 1, 0))</f>
        <v>1</v>
      </c>
      <c r="AE60" s="154">
        <f>IF(ISBLANK(AE58),
0,
IF(AE$6= 4, 1, 0))</f>
        <v>0</v>
      </c>
      <c r="AF60" s="154">
        <f>IF(ISBLANK(AF58),
0,
IF(AF$6 = 4, 1, 0))</f>
        <v>0</v>
      </c>
      <c r="AG60" s="239"/>
      <c r="AH60" s="154">
        <f>IF(ISBLANK(AH58),
0,
IF(AH$6= 4, 1, 0))</f>
        <v>1</v>
      </c>
      <c r="AI60" s="154">
        <f>IF(ISBLANK(AI58),
0,
IF(AI$6 = 4, 1, 0))</f>
        <v>0</v>
      </c>
      <c r="AJ60" s="239"/>
      <c r="AK60" s="240">
        <f>SUM(C60:AI60)</f>
        <v>9</v>
      </c>
      <c r="AL60" s="207"/>
    </row>
    <row r="61" spans="1:38" s="27" customFormat="1" hidden="1" x14ac:dyDescent="0.2">
      <c r="A61" s="108"/>
      <c r="B61" s="220" t="s">
        <v>79</v>
      </c>
      <c r="C61" s="154">
        <f>IF(C60 = 0,
0,
IF(C58 = (C$6+D$6),1,0))</f>
        <v>0</v>
      </c>
      <c r="D61" s="154">
        <f>IF(D60 = 0,
0,
IF(D58 = (C$6+D$6),1,0))</f>
        <v>0</v>
      </c>
      <c r="E61" s="154">
        <f>IF(E60 = 0,
0,
IF(E58 = (E$6+F$6),1,0))</f>
        <v>0</v>
      </c>
      <c r="F61" s="154">
        <f>IF(F60 = 0,
0,
IF(F58 = (E$6+F$6),1,0))</f>
        <v>0</v>
      </c>
      <c r="G61" s="154">
        <f>IF(G60 = 0,
0,
IF(G58 = (G$6+H$6),1,0))</f>
        <v>0</v>
      </c>
      <c r="H61" s="154">
        <f>IF(H60 = 0,
0,
IF(H58 = (G$6+H$6),1,0))</f>
        <v>0</v>
      </c>
      <c r="I61" s="154">
        <f>IF(I60 = 0,
0,
IF(I58 = (I$6+J$6),1,0))</f>
        <v>0</v>
      </c>
      <c r="J61" s="154">
        <f>IF(J60 = 0,
0,
IF(J58 = (I$6+J$6),1,0))</f>
        <v>0</v>
      </c>
      <c r="K61" s="154">
        <f>IF(K60 = 0,
0,
IF(K58 = (K$6+L$6),1,0))</f>
        <v>0</v>
      </c>
      <c r="L61" s="154">
        <f>IF(L60 = 0,
0,
IF(L58 = (K$6+L$6),1,0))</f>
        <v>0</v>
      </c>
      <c r="M61" s="154">
        <f>IF(M60 = 0,
0,
IF(M58 = (M$6+N$6),1,0))</f>
        <v>1</v>
      </c>
      <c r="N61" s="154">
        <f>IF(N60 = 0,
0,
IF(N58 = (M$6+N$6),1,0))</f>
        <v>0</v>
      </c>
      <c r="O61" s="154">
        <f>IF(O60 = 0,
0,
IF(O58 = (O$6+P$6),1,0))</f>
        <v>0</v>
      </c>
      <c r="P61" s="154">
        <f>IF(P60 = 0,
0,
IF(P58 = (O$6+P$6),1,0))</f>
        <v>0</v>
      </c>
      <c r="Q61" s="154">
        <f>IF(Q60 = 0,
0,
IF(Q58 = (Q$6+R$6),1,0))</f>
        <v>0</v>
      </c>
      <c r="R61" s="154">
        <f>IF(R60 = 0,
0,
IF(R58 = (Q$6+R$6),1,0))</f>
        <v>0</v>
      </c>
      <c r="S61" s="239"/>
      <c r="T61" s="154">
        <f>IF(T60 = 0,
0,
IF(T58 = (T$6+U$6),1,0))</f>
        <v>0</v>
      </c>
      <c r="U61" s="154">
        <f>IF(U60 = 0,
0,
IF(U58 = (T$6+U$6),1,0))</f>
        <v>0</v>
      </c>
      <c r="V61" s="154">
        <f>IF(V60 = 0,
0,
IF(V58 = (V$6+W$6),1,0))</f>
        <v>0</v>
      </c>
      <c r="W61" s="154">
        <f>IF(W60 = 0,
0,
IF(W58 = (V$6+W$6),1,0))</f>
        <v>0</v>
      </c>
      <c r="X61" s="154">
        <f>IF(X60 = 0,
0,
IF(X58 = (X$6+Y$6),1,0))</f>
        <v>0</v>
      </c>
      <c r="Y61" s="154">
        <f>IF(Y60 = 0,
0,
IF(Y58 = (X$6+Y$6),1,0))</f>
        <v>0</v>
      </c>
      <c r="Z61" s="154">
        <f>IF(Z60 = 0,
0,
IF(Z58 = (Z$6+AA$6),1,0))</f>
        <v>0</v>
      </c>
      <c r="AA61" s="154">
        <f>IF(AA60 = 0,
0,
IF(AA58 = (Z$6+AA$6),1,0))</f>
        <v>0</v>
      </c>
      <c r="AB61" s="239"/>
      <c r="AC61" s="154">
        <f>IF(AC60 = 0,
0,
IF(AC58 = (AC$6+AD$6),1,0))</f>
        <v>0</v>
      </c>
      <c r="AD61" s="154">
        <f>IF(AD60 = 0,
0,
IF(AD58 = (AC$6+AD$6),1,0))</f>
        <v>0</v>
      </c>
      <c r="AE61" s="154">
        <f>IF(AE60 = 0,
0,
IF(AE58 = (AE$6+AF$6),1,0))</f>
        <v>0</v>
      </c>
      <c r="AF61" s="154">
        <f>IF(AF60 = 0,
0,
IF(AF58 = (AE$6+AF$6),1,0))</f>
        <v>0</v>
      </c>
      <c r="AG61" s="239"/>
      <c r="AH61" s="154">
        <f>IF(AH60 = 0,
0,
IF(AH58 = (AH$6+AI$6),1,0))</f>
        <v>0</v>
      </c>
      <c r="AI61" s="154">
        <f>IF(AI60 = 0,
0,
IF(AI58 = (AH$6+AI$6),1,0))</f>
        <v>0</v>
      </c>
      <c r="AJ61" s="239"/>
      <c r="AK61" s="240">
        <f>SUM(C61:AI61)</f>
        <v>1</v>
      </c>
      <c r="AL61" s="207"/>
    </row>
    <row r="62" spans="1:38" s="27" customFormat="1" ht="12.6" customHeight="1" x14ac:dyDescent="0.2">
      <c r="A62" s="149">
        <f>RANK(AL62,$AL$10:$AL$82,)</f>
        <v>14</v>
      </c>
      <c r="B62" s="93" t="s">
        <v>57</v>
      </c>
      <c r="C62" s="153">
        <v>5</v>
      </c>
      <c r="D62" s="46"/>
      <c r="E62" s="45"/>
      <c r="F62" s="46">
        <v>7</v>
      </c>
      <c r="G62" s="151">
        <v>6</v>
      </c>
      <c r="H62" s="48"/>
      <c r="I62" s="45">
        <v>7</v>
      </c>
      <c r="J62" s="48"/>
      <c r="K62" s="50">
        <v>4</v>
      </c>
      <c r="L62" s="48"/>
      <c r="M62" s="45">
        <v>6</v>
      </c>
      <c r="N62" s="46"/>
      <c r="O62" s="45"/>
      <c r="P62" s="46">
        <v>6</v>
      </c>
      <c r="Q62" s="49">
        <v>6</v>
      </c>
      <c r="R62" s="51"/>
      <c r="S62" s="206">
        <f>SUM(C63:R63)</f>
        <v>52</v>
      </c>
      <c r="T62" s="47">
        <v>6</v>
      </c>
      <c r="U62" s="48"/>
      <c r="V62" s="45"/>
      <c r="W62" s="48">
        <v>6</v>
      </c>
      <c r="X62" s="50">
        <v>6</v>
      </c>
      <c r="Y62" s="46"/>
      <c r="Z62" s="49">
        <v>7</v>
      </c>
      <c r="AA62" s="48"/>
      <c r="AB62" s="206">
        <f>SUM(T63:AA63)</f>
        <v>33</v>
      </c>
      <c r="AC62" s="49">
        <v>5</v>
      </c>
      <c r="AD62" s="48"/>
      <c r="AE62" s="50">
        <v>6</v>
      </c>
      <c r="AF62" s="48"/>
      <c r="AG62" s="206">
        <f>SUM(AC63:AF63)</f>
        <v>4</v>
      </c>
      <c r="AH62" s="113">
        <v>6</v>
      </c>
      <c r="AI62" s="58"/>
      <c r="AJ62" s="206">
        <f>AH63</f>
        <v>24</v>
      </c>
      <c r="AK62" s="134">
        <f>MAX($AL$10:$AL$82) - AL62</f>
        <v>56</v>
      </c>
      <c r="AL62" s="206">
        <f>$S62+$AB62+$AG62+$AJ62</f>
        <v>113</v>
      </c>
    </row>
    <row r="63" spans="1:38" s="27" customFormat="1" ht="12.75" hidden="1" customHeight="1" x14ac:dyDescent="0.2">
      <c r="A63" s="149" t="e">
        <f>RANK(AL63,$AL$10:$AL$82,)</f>
        <v>#N/A</v>
      </c>
      <c r="B63" s="107"/>
      <c r="C63" s="154">
        <f>(IF($C62&lt;&gt;"",($C$6*$O$92)+IF($C$6=4,($O$90)+IF($C62=$C$6+$D$6,$O$91,0),0),0)+IF($D62&lt;&gt;"",($D$6*$O$92)+IF($D$6=4,($O$90)+IF($D62=$C$6+$D$6,$O$91,0),0),0))</f>
        <v>11</v>
      </c>
      <c r="D63" s="84"/>
      <c r="E63" s="85">
        <f>(IF($E62&lt;&gt;"",($E$6*$O$92)+IF($E$6=4,($O$90)+IF($E62=$E$6+$F$6,$O$91,0),0),0)+IF($F62&lt;&gt;"",($F$6*$O$92)+IF($F$6=4,($O$90)+IF($F62=$E$6+$F$6,$O$91,0),0),0))</f>
        <v>3</v>
      </c>
      <c r="F63" s="84"/>
      <c r="G63" s="85">
        <f>(IF($G62&lt;&gt;"",($G$6*$O$92)+IF($G$6=4,($O$90)+IF($G62=$G$6+$H$6,$O$91,0),0),0)+IF($H62&lt;&gt;"",($H$6*$O$92)+IF($H$6=4,($O$90)+IF($H62=$G$6+$H$6,$O$91,0),0),0))</f>
        <v>11</v>
      </c>
      <c r="H63" s="84"/>
      <c r="I63" s="148">
        <f>(IF($I62&lt;&gt;"",($I$6*$O$92)+IF($I$6=4,($O$90)+IF($I62=$I$6+$J$6,$O$91,0),0),0)+IF($J62&lt;&gt;"",($J$6*$O$92)+IF($J$6=4,($O$90)+IF($J62=$I$6+$J$6,$O$91,0),0),0))</f>
        <v>9</v>
      </c>
      <c r="J63" s="86"/>
      <c r="K63" s="87">
        <f>(IF($K62&lt;&gt;"",($K$6*$O$92)+IF($K$6=4,($O$90)+IF($K62=$K$6+$L$6,$O$91,0),0),0)+IF($L62&lt;&gt;"",($L$6*$O$92)+IF($L$6=4,($O$90)+IF($L62=$K$6+$L$6,$O$91,0),0),0))</f>
        <v>9</v>
      </c>
      <c r="L63" s="84"/>
      <c r="M63" s="85">
        <f>(IF($M62&lt;&gt;"",($M$6*$O$92)+IF($M$6=4,($O$90)+IF($M62=$M$6+$N$6,$O$91,0),0),0)+IF($N62&lt;&gt;"",($N$6*$O$92)+IF($N$6=4,($O$90)+IF($N62=$M$6+$N$6,$O$91,0),0),0))</f>
        <v>9</v>
      </c>
      <c r="N63" s="84"/>
      <c r="O63" s="85">
        <f>(IF($O62&lt;&gt;"",($O$6*$O$92)+IF($O$6=4,($O$90)+IF($O62=$O$6+$P$6,$O$91,0),0),0)+IF($P62&lt;&gt;"",($P$6*$O$92)+IF($P$6=4,($O$90)+IF($P62=$O$6+$P$6,$O$91,0),0),0))</f>
        <v>0</v>
      </c>
      <c r="P63" s="84"/>
      <c r="Q63" s="85">
        <f>(IF($Q62&lt;&gt;"",($Q$6*$O$92)+IF($Q$6=4,($O$90)+IF($Q62=$Q$6+$R$6,$O$91,0),0),0)+IF($R62&lt;&gt;"",($R$6*$O$92)+IF($R$6=4,($O$90)+IF($R62=$Q$6+$R$6,$O$91,0),0),0))</f>
        <v>0</v>
      </c>
      <c r="R63" s="88"/>
      <c r="S63" s="205"/>
      <c r="T63" s="60">
        <f>(IF($T62&lt;&gt;"",($T$6*$P$92)+IF($T$6=4,($P$90)+IF($T62=$T$6+$U$6,$P$91,0),0),0)+IF($U62&lt;&gt;"",($U$6*$P$92)+IF($U$6=4,($P$90)+IF($U62=$T$6+$U$6,$P$91,0),0),0))</f>
        <v>14</v>
      </c>
      <c r="U63" s="61"/>
      <c r="V63" s="62">
        <f>(IF($V62&lt;&gt;"",($V$6*$P$92)+IF($V$6=4,($P$90)+IF($V62=$V$6+$W$6,$P$91,0),0),0)+IF($W62&lt;&gt;"",($W$6*$P$92)+IF($W$6=4,($P$90)+IF($W62=$V$6+$W$6,$P$91,0),0),0))</f>
        <v>2</v>
      </c>
      <c r="W63" s="63"/>
      <c r="X63" s="64">
        <f>(IF($X62&lt;&gt;"",($X$6*$P$92)+IF($X$6=4,($P$90)+IF($X62=$X$6+$Y$6,$P$91,0),0),0)+IF($Y62&lt;&gt;"",($Y$6*$P$92)+IF($Y$6=4,($P$90)+IF($Y62=$X$6+$Y$6,$P$91,0),0),0))</f>
        <v>3</v>
      </c>
      <c r="Y63" s="61"/>
      <c r="Z63" s="62">
        <f>(IF($Z62&lt;&gt;"",($Z$6*$P$92)+IF($Z$6=4,($P$90)+IF($Z62=$Z$6+$AA$6,$P$91,0),0),0)+IF($AA62&lt;&gt;"",($AA$6*$P$92)+IF($AA$6=4,($P$90)+IF($AA62=$Z$6+$AA$6,$P$91,0),0),0))</f>
        <v>14</v>
      </c>
      <c r="AA63" s="94"/>
      <c r="AB63" s="205"/>
      <c r="AC63" s="94">
        <f>(IF($AC62&lt;&gt;"",($AC$6*$Q$92)+IF($AC$6=4,($Q$90)+IF($AC62=$AC$6+$AD$6,$Q$91,0),0),0)+IF($AD62&lt;&gt;"",($AD$6*$Q$92)+IF($AD$6=4,($Q$90)+IF($AD62=$AC$6+$AD$6,$Q$91,0),0),0))</f>
        <v>3</v>
      </c>
      <c r="AD63" s="63"/>
      <c r="AE63" s="64">
        <f>(IF($AE62&lt;&gt;"",($AE$6*$Q$92)+IF($AE$6=4,($Q$90)+IF($AE62=$AE$6+$AF$6,$Q$91,0),0),0)+IF($AF62&lt;&gt;"",($AF$6*$Q$92)+IF($AF$6=4,($Q$90)+IF($AF62=$AE$6+$AF$6,$Q$91,0),0),0))</f>
        <v>1</v>
      </c>
      <c r="AF63" s="94"/>
      <c r="AG63" s="205"/>
      <c r="AH63" s="94">
        <f>(IF($AH62&lt;&gt;"",($AH$6*$R$92)+IF($AH$6=4,($R$90)+IF($AH62=$AH$6+$AI$6,$R$91,0),0),0)+IF($AI62&lt;&gt;"",($AI$6*$R$92)+IF($AI$6=4,($R$90)+IF($AI62=$AH$6+$AI$6,$R$91,0),0),0))</f>
        <v>24</v>
      </c>
      <c r="AI63" s="65"/>
      <c r="AJ63" s="205"/>
      <c r="AK63" s="134">
        <f>MAX($AL$10:$AL$82) - AL63</f>
        <v>169</v>
      </c>
      <c r="AL63" s="205"/>
    </row>
    <row r="64" spans="1:38" s="27" customFormat="1" hidden="1" x14ac:dyDescent="0.2">
      <c r="A64" s="108"/>
      <c r="B64" s="220" t="s">
        <v>78</v>
      </c>
      <c r="C64" s="154">
        <f>IF(ISBLANK(C62),
0,
IF(C$6= 4, 1, 0))</f>
        <v>1</v>
      </c>
      <c r="D64" s="154">
        <f>IF(ISBLANK(D62),
0,
IF(D$6 = 4, 1, 0))</f>
        <v>0</v>
      </c>
      <c r="E64" s="154">
        <f>IF(ISBLANK(E62),
0,
IF(E$6= 4, 1, 0))</f>
        <v>0</v>
      </c>
      <c r="F64" s="154">
        <f>IF(ISBLANK(F62),
0,
IF(F$6 = 4, 1, 0))</f>
        <v>0</v>
      </c>
      <c r="G64" s="154">
        <f>IF(ISBLANK(G62),
0,
IF(G$6= 4, 1, 0))</f>
        <v>1</v>
      </c>
      <c r="H64" s="154">
        <f>IF(ISBLANK(H62),
0,
IF(H$6 = 4, 1, 0))</f>
        <v>0</v>
      </c>
      <c r="I64" s="154">
        <f>IF(ISBLANK(I62),
0,
IF(I$6= 4, 1, 0))</f>
        <v>1</v>
      </c>
      <c r="J64" s="154">
        <f>IF(ISBLANK(J62),
0,
IF(J$6 = 4, 1, 0))</f>
        <v>0</v>
      </c>
      <c r="K64" s="154">
        <f>IF(ISBLANK(K62),
0,
IF(K$6= 4, 1, 0))</f>
        <v>1</v>
      </c>
      <c r="L64" s="154">
        <f>IF(ISBLANK(L62),
0,
IF(L$6 = 4, 1, 0))</f>
        <v>0</v>
      </c>
      <c r="M64" s="154">
        <f>IF(ISBLANK(M62),
0,
IF(M$6= 4, 1, 0))</f>
        <v>1</v>
      </c>
      <c r="N64" s="154">
        <f>IF(ISBLANK(N62),
0,
IF(N$6 = 4, 1, 0))</f>
        <v>0</v>
      </c>
      <c r="O64" s="154">
        <f>IF(ISBLANK(O62),
0,
IF(O$6= 4, 1, 0))</f>
        <v>0</v>
      </c>
      <c r="P64" s="154">
        <f>IF(ISBLANK(P62),
0,
IF(P$6 = 4, 1, 0))</f>
        <v>0</v>
      </c>
      <c r="Q64" s="154">
        <f>IF(ISBLANK(Q62),
0,
IF(Q$6= 4, 1, 0))</f>
        <v>0</v>
      </c>
      <c r="R64" s="154">
        <f>IF(ISBLANK(R62),
0,
IF(R$6 = 4, 1, 0))</f>
        <v>0</v>
      </c>
      <c r="S64" s="239"/>
      <c r="T64" s="154">
        <f>IF(ISBLANK(T62),
0,
IF(T$6= 4, 1, 0))</f>
        <v>1</v>
      </c>
      <c r="U64" s="154">
        <f>IF(ISBLANK(U62),
0,
IF(U$6 = 4, 1, 0))</f>
        <v>0</v>
      </c>
      <c r="V64" s="154">
        <f>IF(ISBLANK(V62),
0,
IF(V$6= 4, 1, 0))</f>
        <v>0</v>
      </c>
      <c r="W64" s="154">
        <f>IF(ISBLANK(W62),
0,
IF(W$6 = 4, 1, 0))</f>
        <v>0</v>
      </c>
      <c r="X64" s="154">
        <f>IF(ISBLANK(X62),
0,
IF(X$6= 4, 1, 0))</f>
        <v>0</v>
      </c>
      <c r="Y64" s="154">
        <f>IF(ISBLANK(Y62),
0,
IF(Y$6 = 4, 1, 0))</f>
        <v>0</v>
      </c>
      <c r="Z64" s="154">
        <f>IF(ISBLANK(Z62),
0,
IF(Z$6= 4, 1, 0))</f>
        <v>1</v>
      </c>
      <c r="AA64" s="154">
        <f>IF(ISBLANK(AA62),
0,
IF(AA$6 = 4, 1, 0))</f>
        <v>0</v>
      </c>
      <c r="AB64" s="239"/>
      <c r="AC64" s="154">
        <f>IF(ISBLANK(AC62),
0,
IF(AC$6= 4, 1, 0))</f>
        <v>0</v>
      </c>
      <c r="AD64" s="154">
        <f>IF(ISBLANK(AD62),
0,
IF(AD$6 = 4, 1, 0))</f>
        <v>0</v>
      </c>
      <c r="AE64" s="154">
        <f>IF(ISBLANK(AE62),
0,
IF(AE$6= 4, 1, 0))</f>
        <v>0</v>
      </c>
      <c r="AF64" s="154">
        <f>IF(ISBLANK(AF62),
0,
IF(AF$6 = 4, 1, 0))</f>
        <v>0</v>
      </c>
      <c r="AG64" s="239"/>
      <c r="AH64" s="154">
        <f>IF(ISBLANK(AH62),
0,
IF(AH$6= 4, 1, 0))</f>
        <v>1</v>
      </c>
      <c r="AI64" s="154">
        <f>IF(ISBLANK(AI62),
0,
IF(AI$6 = 4, 1, 0))</f>
        <v>0</v>
      </c>
      <c r="AJ64" s="239"/>
      <c r="AK64" s="240">
        <f>SUM(C64:AI64)</f>
        <v>8</v>
      </c>
      <c r="AL64" s="207"/>
    </row>
    <row r="65" spans="1:38" s="27" customFormat="1" hidden="1" x14ac:dyDescent="0.2">
      <c r="A65" s="108"/>
      <c r="B65" s="220" t="s">
        <v>79</v>
      </c>
      <c r="C65" s="154">
        <f>IF(C64 = 0,
0,
IF(C62 = (C$6+D$6),1,0))</f>
        <v>1</v>
      </c>
      <c r="D65" s="154">
        <f>IF(D64 = 0,
0,
IF(D62 = (C$6+D$6),1,0))</f>
        <v>0</v>
      </c>
      <c r="E65" s="154">
        <f>IF(E64 = 0,
0,
IF(E62 = (E$6+F$6),1,0))</f>
        <v>0</v>
      </c>
      <c r="F65" s="154">
        <f>IF(F64 = 0,
0,
IF(F62 = (E$6+F$6),1,0))</f>
        <v>0</v>
      </c>
      <c r="G65" s="154">
        <f>IF(G64 = 0,
0,
IF(G62 = (G$6+H$6),1,0))</f>
        <v>1</v>
      </c>
      <c r="H65" s="154">
        <f>IF(H64 = 0,
0,
IF(H62 = (G$6+H$6),1,0))</f>
        <v>0</v>
      </c>
      <c r="I65" s="154">
        <f>IF(I64 = 0,
0,
IF(I62 = (I$6+J$6),1,0))</f>
        <v>0</v>
      </c>
      <c r="J65" s="154">
        <f>IF(J64 = 0,
0,
IF(J62 = (I$6+J$6),1,0))</f>
        <v>0</v>
      </c>
      <c r="K65" s="154">
        <f>IF(K64 = 0,
0,
IF(K62 = (K$6+L$6),1,0))</f>
        <v>0</v>
      </c>
      <c r="L65" s="154">
        <f>IF(L64 = 0,
0,
IF(L62 = (K$6+L$6),1,0))</f>
        <v>0</v>
      </c>
      <c r="M65" s="154">
        <f>IF(M64 = 0,
0,
IF(M62 = (M$6+N$6),1,0))</f>
        <v>0</v>
      </c>
      <c r="N65" s="154">
        <f>IF(N64 = 0,
0,
IF(N62 = (M$6+N$6),1,0))</f>
        <v>0</v>
      </c>
      <c r="O65" s="154">
        <f>IF(O64 = 0,
0,
IF(O62 = (O$6+P$6),1,0))</f>
        <v>0</v>
      </c>
      <c r="P65" s="154">
        <f>IF(P64 = 0,
0,
IF(P62 = (O$6+P$6),1,0))</f>
        <v>0</v>
      </c>
      <c r="Q65" s="154">
        <f>IF(Q64 = 0,
0,
IF(Q62 = (Q$6+R$6),1,0))</f>
        <v>0</v>
      </c>
      <c r="R65" s="154">
        <f>IF(R64 = 0,
0,
IF(R62 = (Q$6+R$6),1,0))</f>
        <v>0</v>
      </c>
      <c r="S65" s="239"/>
      <c r="T65" s="154">
        <f>IF(T64 = 0,
0,
IF(T62 = (T$6+U$6),1,0))</f>
        <v>0</v>
      </c>
      <c r="U65" s="154">
        <f>IF(U64 = 0,
0,
IF(U62 = (T$6+U$6),1,0))</f>
        <v>0</v>
      </c>
      <c r="V65" s="154">
        <f>IF(V64 = 0,
0,
IF(V62 = (V$6+W$6),1,0))</f>
        <v>0</v>
      </c>
      <c r="W65" s="154">
        <f>IF(W64 = 0,
0,
IF(W62 = (V$6+W$6),1,0))</f>
        <v>0</v>
      </c>
      <c r="X65" s="154">
        <f>IF(X64 = 0,
0,
IF(X62 = (X$6+Y$6),1,0))</f>
        <v>0</v>
      </c>
      <c r="Y65" s="154">
        <f>IF(Y64 = 0,
0,
IF(Y62 = (X$6+Y$6),1,0))</f>
        <v>0</v>
      </c>
      <c r="Z65" s="154">
        <f>IF(Z64 = 0,
0,
IF(Z62 = (Z$6+AA$6),1,0))</f>
        <v>0</v>
      </c>
      <c r="AA65" s="154">
        <f>IF(AA64 = 0,
0,
IF(AA62 = (Z$6+AA$6),1,0))</f>
        <v>0</v>
      </c>
      <c r="AB65" s="239"/>
      <c r="AC65" s="154">
        <f>IF(AC64 = 0,
0,
IF(AC62 = (AC$6+AD$6),1,0))</f>
        <v>0</v>
      </c>
      <c r="AD65" s="154">
        <f>IF(AD64 = 0,
0,
IF(AD62 = (AC$6+AD$6),1,0))</f>
        <v>0</v>
      </c>
      <c r="AE65" s="154">
        <f>IF(AE64 = 0,
0,
IF(AE62 = (AE$6+AF$6),1,0))</f>
        <v>0</v>
      </c>
      <c r="AF65" s="154">
        <f>IF(AF64 = 0,
0,
IF(AF62 = (AE$6+AF$6),1,0))</f>
        <v>0</v>
      </c>
      <c r="AG65" s="239"/>
      <c r="AH65" s="154">
        <f>IF(AH64 = 0,
0,
IF(AH62 = (AH$6+AI$6),1,0))</f>
        <v>0</v>
      </c>
      <c r="AI65" s="154">
        <f>IF(AI64 = 0,
0,
IF(AI62 = (AH$6+AI$6),1,0))</f>
        <v>0</v>
      </c>
      <c r="AJ65" s="239"/>
      <c r="AK65" s="240">
        <f>SUM(C65:AI65)</f>
        <v>2</v>
      </c>
      <c r="AL65" s="207"/>
    </row>
    <row r="66" spans="1:38" s="27" customFormat="1" ht="12.75" customHeight="1" x14ac:dyDescent="0.2">
      <c r="A66" s="173">
        <f>RANK(AL66,$AL$10:$AL$82,)</f>
        <v>15</v>
      </c>
      <c r="B66" s="174" t="s">
        <v>72</v>
      </c>
      <c r="C66" s="184">
        <v>6</v>
      </c>
      <c r="D66" s="176"/>
      <c r="E66" s="180"/>
      <c r="F66" s="176">
        <v>7</v>
      </c>
      <c r="G66" s="182">
        <v>5</v>
      </c>
      <c r="H66" s="179"/>
      <c r="I66" s="180">
        <v>7</v>
      </c>
      <c r="J66" s="179"/>
      <c r="K66" s="181">
        <v>6</v>
      </c>
      <c r="L66" s="179"/>
      <c r="M66" s="180">
        <v>7</v>
      </c>
      <c r="N66" s="176"/>
      <c r="O66" s="180">
        <v>6</v>
      </c>
      <c r="P66" s="176"/>
      <c r="Q66" s="182">
        <v>7</v>
      </c>
      <c r="R66" s="183"/>
      <c r="S66" s="210">
        <f>SUM(C67:R67)</f>
        <v>59</v>
      </c>
      <c r="T66" s="184">
        <v>6</v>
      </c>
      <c r="U66" s="179"/>
      <c r="V66" s="180"/>
      <c r="W66" s="179">
        <v>7</v>
      </c>
      <c r="X66" s="185"/>
      <c r="Y66" s="176">
        <v>6</v>
      </c>
      <c r="Z66" s="178">
        <v>6</v>
      </c>
      <c r="AA66" s="179"/>
      <c r="AB66" s="210">
        <f>SUM(T67:AA67)</f>
        <v>48</v>
      </c>
      <c r="AC66" s="182">
        <v>6</v>
      </c>
      <c r="AD66" s="179"/>
      <c r="AE66" s="185">
        <v>7</v>
      </c>
      <c r="AF66" s="179"/>
      <c r="AG66" s="210">
        <f>SUM(AC67:AF67)</f>
        <v>4</v>
      </c>
      <c r="AH66" s="192"/>
      <c r="AI66" s="187">
        <v>6</v>
      </c>
      <c r="AJ66" s="210">
        <f>AH67</f>
        <v>1</v>
      </c>
      <c r="AK66" s="188">
        <f>MAX($AL$10:$AL$82) - AL66</f>
        <v>57</v>
      </c>
      <c r="AL66" s="210">
        <f>$S66+$AB66+$AG66+$AJ66</f>
        <v>112</v>
      </c>
    </row>
    <row r="67" spans="1:38" s="27" customFormat="1" ht="13.5" hidden="1" thickBot="1" x14ac:dyDescent="0.25">
      <c r="A67" s="149" t="e">
        <f>RANK(AL67,$AL$10:$AL$82,)</f>
        <v>#N/A</v>
      </c>
      <c r="B67" s="129"/>
      <c r="C67" s="154">
        <f>(IF($C66&lt;&gt;"",($C$6*$O$92)+IF($C$6=4,($O$90)+IF($C66=$C$6+$D$6,$O$91,0),0),0)+IF($D66&lt;&gt;"",($D$6*$O$92)+IF($D$6=4,($O$90)+IF($D66=$C$6+$D$6,$O$91,0),0),0))</f>
        <v>9</v>
      </c>
      <c r="D67" s="84"/>
      <c r="E67" s="85">
        <f>(IF($E66&lt;&gt;"",($E$6*$O$92)+IF($E$6=4,($O$90)+IF($E66=$E$6+$F$6,$O$91,0),0),0)+IF($F66&lt;&gt;"",($F$6*$O$92)+IF($F$6=4,($O$90)+IF($F66=$E$6+$F$6,$O$91,0),0),0))</f>
        <v>3</v>
      </c>
      <c r="F67" s="84"/>
      <c r="G67" s="148">
        <f>(IF($G66&lt;&gt;"",($G$6*$O$92)+IF($G$6=4,($O$90)+IF($G66=$G$6+$H$6,$O$91,0),0),0)+IF($H66&lt;&gt;"",($H$6*$O$92)+IF($H$6=4,($O$90)+IF($H66=$G$6+$H$6,$O$91,0),0),0))</f>
        <v>9</v>
      </c>
      <c r="H67" s="84"/>
      <c r="I67" s="157">
        <f>(IF($I66&lt;&gt;"",($I$6*$O$92)+IF($I$6=4,($O$90)+IF($I66=$I$6+$J$6,$O$91,0),0),0)+IF($J66&lt;&gt;"",($J$6*$O$92)+IF($J$6=4,($O$90)+IF($J66=$I$6+$J$6,$O$91,0),0),0))</f>
        <v>9</v>
      </c>
      <c r="J67" s="86"/>
      <c r="K67" s="87">
        <f>(IF($K66&lt;&gt;"",($K$6*$O$92)+IF($K$6=4,($O$90)+IF($K66=$K$6+$L$6,$O$91,0),0),0)+IF($L66&lt;&gt;"",($L$6*$O$92)+IF($L$6=4,($O$90)+IF($L66=$K$6+$L$6,$O$91,0),0),0))</f>
        <v>11</v>
      </c>
      <c r="L67" s="84"/>
      <c r="M67" s="85">
        <f>(IF($M66&lt;&gt;"",($M$6*$O$92)+IF($M$6=4,($O$90)+IF($M66=$M$6+$N$6,$O$91,0),0),0)+IF($N66&lt;&gt;"",($N$6*$O$92)+IF($N$6=4,($O$90)+IF($N66=$M$6+$N$6,$O$91,0),0),0))</f>
        <v>9</v>
      </c>
      <c r="N67" s="84"/>
      <c r="O67" s="85">
        <f>(IF($O66&lt;&gt;"",($O$6*$O$92)+IF($O$6=4,($O$90)+IF($O66=$O$6+$P$6,$O$91,0),0),0)+IF($P66&lt;&gt;"",($P$6*$O$92)+IF($P$6=4,($O$90)+IF($P66=$O$6+$P$6,$O$91,0),0),0))</f>
        <v>9</v>
      </c>
      <c r="P67" s="84"/>
      <c r="Q67" s="85">
        <f>(IF($Q66&lt;&gt;"",($Q$6*$O$92)+IF($Q$6=4,($O$90)+IF($Q66=$Q$6+$R$6,$O$91,0),0),0)+IF($R66&lt;&gt;"",($R$6*$O$92)+IF($R$6=4,($O$90)+IF($R66=$Q$6+$R$6,$O$91,0),0),0))</f>
        <v>0</v>
      </c>
      <c r="R67" s="88"/>
      <c r="S67" s="207"/>
      <c r="T67" s="60">
        <f>(IF($T66&lt;&gt;"",($T$6*$P$92)+IF($T$6=4,($P$90)+IF($T66=$T$6+$U$6,$P$91,0),0),0)+IF($U66&lt;&gt;"",($U$6*$P$92)+IF($U$6=4,($P$90)+IF($U66=$T$6+$U$6,$P$91,0),0),0))</f>
        <v>14</v>
      </c>
      <c r="U67" s="61"/>
      <c r="V67" s="62">
        <f>(IF($V66&lt;&gt;"",($V$6*$P$92)+IF($V$6=4,($P$90)+IF($V66=$V$6+$W$6,$P$91,0),0),0)+IF($W66&lt;&gt;"",($W$6*$P$92)+IF($W$6=4,($P$90)+IF($W66=$V$6+$W$6,$P$91,0),0),0))</f>
        <v>2</v>
      </c>
      <c r="W67" s="63"/>
      <c r="X67" s="64">
        <f>(IF($X66&lt;&gt;"",($X$6*$P$92)+IF($X$6=4,($P$90)+IF($X66=$X$6+$Y$6,$P$91,0),0),0)+IF($Y66&lt;&gt;"",($Y$6*$P$92)+IF($Y$6=4,($P$90)+IF($Y66=$X$6+$Y$6,$P$91,0),0),0))</f>
        <v>14</v>
      </c>
      <c r="Y67" s="61"/>
      <c r="Z67" s="62">
        <f>(IF($Z66&lt;&gt;"",($Z$6*$P$92)+IF($Z$6=4,($P$90)+IF($Z66=$Z$6+$AA$6,$P$91,0),0),0)+IF($AA66&lt;&gt;"",($AA$6*$P$92)+IF($AA$6=4,($P$90)+IF($AA66=$Z$6+$AA$6,$P$91,0),0),0))</f>
        <v>18</v>
      </c>
      <c r="AA67" s="94"/>
      <c r="AB67" s="205"/>
      <c r="AC67" s="94">
        <f>(IF($AC66&lt;&gt;"",($AC$6*$Q$92)+IF($AC$6=4,($Q$90)+IF($AC66=$AC$6+$AD$6,$Q$91,0),0),0)+IF($AD66&lt;&gt;"",($AD$6*$Q$92)+IF($AD$6=4,($Q$90)+IF($AD66=$AC$6+$AD$6,$Q$91,0),0),0))</f>
        <v>3</v>
      </c>
      <c r="AD67" s="63"/>
      <c r="AE67" s="64">
        <f>(IF($AE66&lt;&gt;"",($AE$6*$Q$92)+IF($AE$6=4,($Q$90)+IF($AE66=$AE$6+$AF$6,$Q$91,0),0),0)+IF($AF66&lt;&gt;"",($AF$6*$Q$92)+IF($AF$6=4,($Q$90)+IF($AF66=$AE$6+$AF$6,$Q$91,0),0),0))</f>
        <v>1</v>
      </c>
      <c r="AF67" s="94"/>
      <c r="AG67" s="205"/>
      <c r="AH67" s="94">
        <f>(IF($AH66&lt;&gt;"",($AH$6*$R$92)+IF($AH$6=4,($R$90)+IF($AH66=$AH$6+$AI$6,$R$91,0),0),0)+IF($AI66&lt;&gt;"",($AI$6*$R$92)+IF($AI$6=4,($R$90)+IF($AI66=$AH$6+$AI$6,$R$91,0),0),0))</f>
        <v>1</v>
      </c>
      <c r="AI67" s="65"/>
      <c r="AJ67" s="207"/>
      <c r="AK67" s="134">
        <f>MAX($AL$10:$AL$82) - AL67</f>
        <v>169</v>
      </c>
      <c r="AL67" s="207"/>
    </row>
    <row r="68" spans="1:38" s="27" customFormat="1" hidden="1" x14ac:dyDescent="0.2">
      <c r="A68" s="108"/>
      <c r="B68" s="220" t="s">
        <v>78</v>
      </c>
      <c r="C68" s="154">
        <f>IF(ISBLANK(C66),
0,
IF(C$6= 4, 1, 0))</f>
        <v>1</v>
      </c>
      <c r="D68" s="154">
        <f>IF(ISBLANK(D66),
0,
IF(D$6 = 4, 1, 0))</f>
        <v>0</v>
      </c>
      <c r="E68" s="154">
        <f>IF(ISBLANK(E66),
0,
IF(E$6= 4, 1, 0))</f>
        <v>0</v>
      </c>
      <c r="F68" s="154">
        <f>IF(ISBLANK(F66),
0,
IF(F$6 = 4, 1, 0))</f>
        <v>0</v>
      </c>
      <c r="G68" s="154">
        <f>IF(ISBLANK(G66),
0,
IF(G$6= 4, 1, 0))</f>
        <v>1</v>
      </c>
      <c r="H68" s="154">
        <f>IF(ISBLANK(H66),
0,
IF(H$6 = 4, 1, 0))</f>
        <v>0</v>
      </c>
      <c r="I68" s="154">
        <f>IF(ISBLANK(I66),
0,
IF(I$6= 4, 1, 0))</f>
        <v>1</v>
      </c>
      <c r="J68" s="154">
        <f>IF(ISBLANK(J66),
0,
IF(J$6 = 4, 1, 0))</f>
        <v>0</v>
      </c>
      <c r="K68" s="154">
        <f>IF(ISBLANK(K66),
0,
IF(K$6= 4, 1, 0))</f>
        <v>1</v>
      </c>
      <c r="L68" s="154">
        <f>IF(ISBLANK(L66),
0,
IF(L$6 = 4, 1, 0))</f>
        <v>0</v>
      </c>
      <c r="M68" s="154">
        <f>IF(ISBLANK(M66),
0,
IF(M$6= 4, 1, 0))</f>
        <v>1</v>
      </c>
      <c r="N68" s="154">
        <f>IF(ISBLANK(N66),
0,
IF(N$6 = 4, 1, 0))</f>
        <v>0</v>
      </c>
      <c r="O68" s="154">
        <f>IF(ISBLANK(O66),
0,
IF(O$6= 4, 1, 0))</f>
        <v>1</v>
      </c>
      <c r="P68" s="154">
        <f>IF(ISBLANK(P66),
0,
IF(P$6 = 4, 1, 0))</f>
        <v>0</v>
      </c>
      <c r="Q68" s="154">
        <f>IF(ISBLANK(Q66),
0,
IF(Q$6= 4, 1, 0))</f>
        <v>0</v>
      </c>
      <c r="R68" s="154">
        <f>IF(ISBLANK(R66),
0,
IF(R$6 = 4, 1, 0))</f>
        <v>0</v>
      </c>
      <c r="S68" s="239"/>
      <c r="T68" s="154">
        <f>IF(ISBLANK(T66),
0,
IF(T$6= 4, 1, 0))</f>
        <v>1</v>
      </c>
      <c r="U68" s="154">
        <f>IF(ISBLANK(U66),
0,
IF(U$6 = 4, 1, 0))</f>
        <v>0</v>
      </c>
      <c r="V68" s="154">
        <f>IF(ISBLANK(V66),
0,
IF(V$6= 4, 1, 0))</f>
        <v>0</v>
      </c>
      <c r="W68" s="154">
        <f>IF(ISBLANK(W66),
0,
IF(W$6 = 4, 1, 0))</f>
        <v>0</v>
      </c>
      <c r="X68" s="154">
        <f>IF(ISBLANK(X66),
0,
IF(X$6= 4, 1, 0))</f>
        <v>0</v>
      </c>
      <c r="Y68" s="154">
        <f>IF(ISBLANK(Y66),
0,
IF(Y$6 = 4, 1, 0))</f>
        <v>1</v>
      </c>
      <c r="Z68" s="154">
        <f>IF(ISBLANK(Z66),
0,
IF(Z$6= 4, 1, 0))</f>
        <v>1</v>
      </c>
      <c r="AA68" s="154">
        <f>IF(ISBLANK(AA66),
0,
IF(AA$6 = 4, 1, 0))</f>
        <v>0</v>
      </c>
      <c r="AB68" s="239"/>
      <c r="AC68" s="154">
        <f>IF(ISBLANK(AC66),
0,
IF(AC$6= 4, 1, 0))</f>
        <v>0</v>
      </c>
      <c r="AD68" s="154">
        <f>IF(ISBLANK(AD66),
0,
IF(AD$6 = 4, 1, 0))</f>
        <v>0</v>
      </c>
      <c r="AE68" s="154">
        <f>IF(ISBLANK(AE66),
0,
IF(AE$6= 4, 1, 0))</f>
        <v>0</v>
      </c>
      <c r="AF68" s="154">
        <f>IF(ISBLANK(AF66),
0,
IF(AF$6 = 4, 1, 0))</f>
        <v>0</v>
      </c>
      <c r="AG68" s="239"/>
      <c r="AH68" s="154">
        <f>IF(ISBLANK(AH66),
0,
IF(AH$6= 4, 1, 0))</f>
        <v>0</v>
      </c>
      <c r="AI68" s="154">
        <f>IF(ISBLANK(AI66),
0,
IF(AI$6 = 4, 1, 0))</f>
        <v>0</v>
      </c>
      <c r="AJ68" s="239"/>
      <c r="AK68" s="240">
        <f>SUM(C68:AI68)</f>
        <v>9</v>
      </c>
      <c r="AL68" s="207"/>
    </row>
    <row r="69" spans="1:38" s="27" customFormat="1" hidden="1" x14ac:dyDescent="0.2">
      <c r="A69" s="108"/>
      <c r="B69" s="220" t="s">
        <v>79</v>
      </c>
      <c r="C69" s="154">
        <f>IF(C68 = 0,
0,
IF(C66 = (C$6+D$6),1,0))</f>
        <v>0</v>
      </c>
      <c r="D69" s="154">
        <f>IF(D68 = 0,
0,
IF(D66 = (C$6+D$6),1,0))</f>
        <v>0</v>
      </c>
      <c r="E69" s="154">
        <f>IF(E68 = 0,
0,
IF(E66 = (E$6+F$6),1,0))</f>
        <v>0</v>
      </c>
      <c r="F69" s="154">
        <f>IF(F68 = 0,
0,
IF(F66 = (E$6+F$6),1,0))</f>
        <v>0</v>
      </c>
      <c r="G69" s="154">
        <f>IF(G68 = 0,
0,
IF(G66 = (G$6+H$6),1,0))</f>
        <v>0</v>
      </c>
      <c r="H69" s="154">
        <f>IF(H68 = 0,
0,
IF(H66 = (G$6+H$6),1,0))</f>
        <v>0</v>
      </c>
      <c r="I69" s="154">
        <f>IF(I68 = 0,
0,
IF(I66 = (I$6+J$6),1,0))</f>
        <v>0</v>
      </c>
      <c r="J69" s="154">
        <f>IF(J68 = 0,
0,
IF(J66 = (I$6+J$6),1,0))</f>
        <v>0</v>
      </c>
      <c r="K69" s="154">
        <f>IF(K68 = 0,
0,
IF(K66 = (K$6+L$6),1,0))</f>
        <v>1</v>
      </c>
      <c r="L69" s="154">
        <f>IF(L68 = 0,
0,
IF(L66 = (K$6+L$6),1,0))</f>
        <v>0</v>
      </c>
      <c r="M69" s="154">
        <f>IF(M68 = 0,
0,
IF(M66 = (M$6+N$6),1,0))</f>
        <v>0</v>
      </c>
      <c r="N69" s="154">
        <f>IF(N68 = 0,
0,
IF(N66 = (M$6+N$6),1,0))</f>
        <v>0</v>
      </c>
      <c r="O69" s="154">
        <f>IF(O68 = 0,
0,
IF(O66 = (O$6+P$6),1,0))</f>
        <v>0</v>
      </c>
      <c r="P69" s="154">
        <f>IF(P68 = 0,
0,
IF(P66 = (O$6+P$6),1,0))</f>
        <v>0</v>
      </c>
      <c r="Q69" s="154">
        <f>IF(Q68 = 0,
0,
IF(Q66 = (Q$6+R$6),1,0))</f>
        <v>0</v>
      </c>
      <c r="R69" s="154">
        <f>IF(R68 = 0,
0,
IF(R66 = (Q$6+R$6),1,0))</f>
        <v>0</v>
      </c>
      <c r="S69" s="239"/>
      <c r="T69" s="154">
        <f>IF(T68 = 0,
0,
IF(T66 = (T$6+U$6),1,0))</f>
        <v>0</v>
      </c>
      <c r="U69" s="154">
        <f>IF(U68 = 0,
0,
IF(U66 = (T$6+U$6),1,0))</f>
        <v>0</v>
      </c>
      <c r="V69" s="154">
        <f>IF(V68 = 0,
0,
IF(V66 = (V$6+W$6),1,0))</f>
        <v>0</v>
      </c>
      <c r="W69" s="154">
        <f>IF(W68 = 0,
0,
IF(W66 = (V$6+W$6),1,0))</f>
        <v>0</v>
      </c>
      <c r="X69" s="154">
        <f>IF(X68 = 0,
0,
IF(X66 = (X$6+Y$6),1,0))</f>
        <v>0</v>
      </c>
      <c r="Y69" s="154">
        <f>IF(Y68 = 0,
0,
IF(Y66 = (X$6+Y$6),1,0))</f>
        <v>0</v>
      </c>
      <c r="Z69" s="154">
        <f>IF(Z68 = 0,
0,
IF(Z66 = (Z$6+AA$6),1,0))</f>
        <v>1</v>
      </c>
      <c r="AA69" s="154">
        <f>IF(AA68 = 0,
0,
IF(AA66 = (Z$6+AA$6),1,0))</f>
        <v>0</v>
      </c>
      <c r="AB69" s="239"/>
      <c r="AC69" s="154">
        <f>IF(AC68 = 0,
0,
IF(AC66 = (AC$6+AD$6),1,0))</f>
        <v>0</v>
      </c>
      <c r="AD69" s="154">
        <f>IF(AD68 = 0,
0,
IF(AD66 = (AC$6+AD$6),1,0))</f>
        <v>0</v>
      </c>
      <c r="AE69" s="154">
        <f>IF(AE68 = 0,
0,
IF(AE66 = (AE$6+AF$6),1,0))</f>
        <v>0</v>
      </c>
      <c r="AF69" s="154">
        <f>IF(AF68 = 0,
0,
IF(AF66 = (AE$6+AF$6),1,0))</f>
        <v>0</v>
      </c>
      <c r="AG69" s="239"/>
      <c r="AH69" s="154">
        <f>IF(AH68 = 0,
0,
IF(AH66 = (AH$6+AI$6),1,0))</f>
        <v>0</v>
      </c>
      <c r="AI69" s="154">
        <f>IF(AI68 = 0,
0,
IF(AI66 = (AH$6+AI$6),1,0))</f>
        <v>0</v>
      </c>
      <c r="AJ69" s="239"/>
      <c r="AK69" s="240">
        <f>SUM(C69:AI69)</f>
        <v>2</v>
      </c>
      <c r="AL69" s="207"/>
    </row>
    <row r="70" spans="1:38" s="27" customFormat="1" ht="12.75" customHeight="1" x14ac:dyDescent="0.2">
      <c r="A70" s="149">
        <f>RANK(AL70,$AL$10:$AL$82,)</f>
        <v>16</v>
      </c>
      <c r="B70" s="93" t="s">
        <v>69</v>
      </c>
      <c r="C70" s="153">
        <v>5</v>
      </c>
      <c r="D70" s="46"/>
      <c r="E70" s="45"/>
      <c r="F70" s="46">
        <v>7</v>
      </c>
      <c r="G70" s="49"/>
      <c r="H70" s="48">
        <v>6</v>
      </c>
      <c r="I70" s="156">
        <v>6</v>
      </c>
      <c r="J70" s="48"/>
      <c r="K70" s="50">
        <v>5</v>
      </c>
      <c r="L70" s="48"/>
      <c r="M70" s="156">
        <v>5</v>
      </c>
      <c r="N70" s="46"/>
      <c r="O70" s="45"/>
      <c r="P70" s="46">
        <v>7</v>
      </c>
      <c r="Q70" s="49">
        <v>6</v>
      </c>
      <c r="R70" s="51"/>
      <c r="S70" s="206">
        <f>SUM(C71:R71)</f>
        <v>47</v>
      </c>
      <c r="T70" s="47">
        <v>6</v>
      </c>
      <c r="U70" s="48"/>
      <c r="V70" s="45"/>
      <c r="W70" s="48">
        <v>6</v>
      </c>
      <c r="X70" s="50">
        <v>7</v>
      </c>
      <c r="Y70" s="46"/>
      <c r="Z70" s="49">
        <v>7</v>
      </c>
      <c r="AA70" s="48"/>
      <c r="AB70" s="206">
        <f>SUM(T71:AA71)</f>
        <v>33</v>
      </c>
      <c r="AC70" s="49">
        <v>7</v>
      </c>
      <c r="AD70" s="48"/>
      <c r="AE70" s="50"/>
      <c r="AF70" s="48">
        <v>6</v>
      </c>
      <c r="AG70" s="206">
        <f>SUM(AC71:AF71)</f>
        <v>22</v>
      </c>
      <c r="AH70" s="111"/>
      <c r="AI70" s="59">
        <v>6</v>
      </c>
      <c r="AJ70" s="206">
        <f>AH71</f>
        <v>1</v>
      </c>
      <c r="AK70" s="134">
        <f>MAX($AL$10:$AL$82) - AL70</f>
        <v>66</v>
      </c>
      <c r="AL70" s="206">
        <f>$S70+$AB70+$AG70+$AJ70</f>
        <v>103</v>
      </c>
    </row>
    <row r="71" spans="1:38" s="27" customFormat="1" ht="13.5" hidden="1" thickBot="1" x14ac:dyDescent="0.25">
      <c r="A71" s="149" t="e">
        <f>RANK(AL71,$AL$10:$AL$82,)</f>
        <v>#N/A</v>
      </c>
      <c r="B71" s="129"/>
      <c r="C71" s="83">
        <f>(IF($C70&lt;&gt;"",($C$6*$O$92)+IF($C$6=4,($O$90)+IF($C70=$C$6+$D$6,$O$91,0),0),0)+IF($D70&lt;&gt;"",($D$6*$O$92)+IF($D$6=4,($O$90)+IF($D70=$C$6+$D$6,$O$91,0),0),0))</f>
        <v>11</v>
      </c>
      <c r="D71" s="84"/>
      <c r="E71" s="85">
        <f>(IF($E70&lt;&gt;"",($E$6*$O$92)+IF($E$6=4,($O$90)+IF($E70=$E$6+$F$6,$O$91,0),0),0)+IF($F70&lt;&gt;"",($F$6*$O$92)+IF($F$6=4,($O$90)+IF($F70=$E$6+$F$6,$O$91,0),0),0))</f>
        <v>3</v>
      </c>
      <c r="F71" s="84"/>
      <c r="G71" s="85">
        <f>(IF($G70&lt;&gt;"",($G$6*$O$92)+IF($G$6=4,($O$90)+IF($G70=$G$6+$H$6,$O$91,0),0),0)+IF($H70&lt;&gt;"",($H$6*$O$92)+IF($H$6=4,($O$90)+IF($H70=$G$6+$H$6,$O$91,0),0),0))</f>
        <v>2</v>
      </c>
      <c r="H71" s="84"/>
      <c r="I71" s="85">
        <f>(IF($I70&lt;&gt;"",($I$6*$O$92)+IF($I$6=4,($O$90)+IF($I70=$I$6+$J$6,$O$91,0),0),0)+IF($J70&lt;&gt;"",($J$6*$O$92)+IF($J$6=4,($O$90)+IF($J70=$I$6+$J$6,$O$91,0),0),0))</f>
        <v>11</v>
      </c>
      <c r="J71" s="86"/>
      <c r="K71" s="87">
        <f>(IF($K70&lt;&gt;"",($K$6*$O$92)+IF($K$6=4,($O$90)+IF($K70=$K$6+$L$6,$O$91,0),0),0)+IF($L70&lt;&gt;"",($L$6*$O$92)+IF($L$6=4,($O$90)+IF($L70=$K$6+$L$6,$O$91,0),0),0))</f>
        <v>9</v>
      </c>
      <c r="L71" s="84"/>
      <c r="M71" s="85">
        <f>(IF($M70&lt;&gt;"",($M$6*$O$92)+IF($M$6=4,($O$90)+IF($M70=$M$6+$N$6,$O$91,0),0),0)+IF($N70&lt;&gt;"",($N$6*$O$92)+IF($N$6=4,($O$90)+IF($N70=$M$6+$N$6,$O$91,0),0),0))</f>
        <v>11</v>
      </c>
      <c r="N71" s="84"/>
      <c r="O71" s="85">
        <f>(IF($O70&lt;&gt;"",($O$6*$O$92)+IF($O$6=4,($O$90)+IF($O70=$O$6+$P$6,$O$91,0),0),0)+IF($P70&lt;&gt;"",($P$6*$O$92)+IF($P$6=4,($O$90)+IF($P70=$O$6+$P$6,$O$91,0),0),0))</f>
        <v>0</v>
      </c>
      <c r="P71" s="84"/>
      <c r="Q71" s="85">
        <f>(IF($Q70&lt;&gt;"",($Q$6*$O$92)+IF($Q$6=4,($O$90)+IF($Q70=$Q$6+$R$6,$O$91,0),0),0)+IF($R70&lt;&gt;"",($R$6*$O$92)+IF($R$6=4,($O$90)+IF($R70=$Q$6+$R$6,$O$91,0),0),0))</f>
        <v>0</v>
      </c>
      <c r="R71" s="88"/>
      <c r="S71" s="207"/>
      <c r="T71" s="60">
        <f>(IF($T70&lt;&gt;"",($T$6*$P$92)+IF($T$6=4,($P$90)+IF($T70=$T$6+$U$6,$P$91,0),0),0)+IF($U70&lt;&gt;"",($U$6*$P$92)+IF($U$6=4,($P$90)+IF($U70=$T$6+$U$6,$P$91,0),0),0))</f>
        <v>14</v>
      </c>
      <c r="U71" s="61"/>
      <c r="V71" s="62">
        <f>(IF($V70&lt;&gt;"",($V$6*$P$92)+IF($V$6=4,($P$90)+IF($V70=$V$6+$W$6,$P$91,0),0),0)+IF($W70&lt;&gt;"",($W$6*$P$92)+IF($W$6=4,($P$90)+IF($W70=$V$6+$W$6,$P$91,0),0),0))</f>
        <v>2</v>
      </c>
      <c r="W71" s="63"/>
      <c r="X71" s="64">
        <f>(IF($X70&lt;&gt;"",($X$6*$P$92)+IF($X$6=4,($P$90)+IF($X70=$X$6+$Y$6,$P$91,0),0),0)+IF($Y70&lt;&gt;"",($Y$6*$P$92)+IF($Y$6=4,($P$90)+IF($Y70=$X$6+$Y$6,$P$91,0),0),0))</f>
        <v>3</v>
      </c>
      <c r="Y71" s="61"/>
      <c r="Z71" s="62">
        <f>(IF($Z70&lt;&gt;"",($Z$6*$P$92)+IF($Z$6=4,($P$90)+IF($Z70=$Z$6+$AA$6,$P$91,0),0),0)+IF($AA70&lt;&gt;"",($AA$6*$P$92)+IF($AA$6=4,($P$90)+IF($AA70=$Z$6+$AA$6,$P$91,0),0),0))</f>
        <v>14</v>
      </c>
      <c r="AA71" s="94"/>
      <c r="AB71" s="205"/>
      <c r="AC71" s="94">
        <f>(IF($AC70&lt;&gt;"",($AC$6*$Q$92)+IF($AC$6=4,($Q$90)+IF($AC70=$AC$6+$AD$6,$Q$91,0),0),0)+IF($AD70&lt;&gt;"",($AD$6*$Q$92)+IF($AD$6=4,($Q$90)+IF($AD70=$AC$6+$AD$6,$Q$91,0),0),0))</f>
        <v>3</v>
      </c>
      <c r="AD71" s="63"/>
      <c r="AE71" s="64">
        <f>(IF($AE70&lt;&gt;"",($AE$6*$Q$92)+IF($AE$6=4,($Q$90)+IF($AE70=$AE$6+$AF$6,$Q$91,0),0),0)+IF($AF70&lt;&gt;"",($AF$6*$Q$92)+IF($AF$6=4,($Q$90)+IF($AF70=$AE$6+$AF$6,$Q$91,0),0),0))</f>
        <v>19</v>
      </c>
      <c r="AF71" s="94"/>
      <c r="AG71" s="205"/>
      <c r="AH71" s="94">
        <f>(IF($AH70&lt;&gt;"",($AH$6*$R$92)+IF($AH$6=4,($R$90)+IF($AH70=$AH$6+$AI$6,$R$91,0),0),0)+IF($AI70&lt;&gt;"",($AI$6*$R$92)+IF($AI$6=4,($R$90)+IF($AI70=$AH$6+$AI$6,$R$91,0),0),0))</f>
        <v>1</v>
      </c>
      <c r="AI71" s="65"/>
      <c r="AJ71" s="207"/>
      <c r="AK71" s="134">
        <f>MAX($AL$10:$AL$82) - AL71</f>
        <v>169</v>
      </c>
      <c r="AL71" s="207"/>
    </row>
    <row r="72" spans="1:38" s="27" customFormat="1" hidden="1" x14ac:dyDescent="0.2">
      <c r="A72" s="108"/>
      <c r="B72" s="220" t="s">
        <v>78</v>
      </c>
      <c r="C72" s="154">
        <f>IF(ISBLANK(C70),
0,
IF(C$6= 4, 1, 0))</f>
        <v>1</v>
      </c>
      <c r="D72" s="154">
        <f>IF(ISBLANK(D70),
0,
IF(D$6 = 4, 1, 0))</f>
        <v>0</v>
      </c>
      <c r="E72" s="154">
        <f>IF(ISBLANK(E70),
0,
IF(E$6= 4, 1, 0))</f>
        <v>0</v>
      </c>
      <c r="F72" s="154">
        <f>IF(ISBLANK(F70),
0,
IF(F$6 = 4, 1, 0))</f>
        <v>0</v>
      </c>
      <c r="G72" s="154">
        <f>IF(ISBLANK(G70),
0,
IF(G$6= 4, 1, 0))</f>
        <v>0</v>
      </c>
      <c r="H72" s="154">
        <f>IF(ISBLANK(H70),
0,
IF(H$6 = 4, 1, 0))</f>
        <v>0</v>
      </c>
      <c r="I72" s="154">
        <f>IF(ISBLANK(I70),
0,
IF(I$6= 4, 1, 0))</f>
        <v>1</v>
      </c>
      <c r="J72" s="154">
        <f>IF(ISBLANK(J70),
0,
IF(J$6 = 4, 1, 0))</f>
        <v>0</v>
      </c>
      <c r="K72" s="154">
        <f>IF(ISBLANK(K70),
0,
IF(K$6= 4, 1, 0))</f>
        <v>1</v>
      </c>
      <c r="L72" s="154">
        <f>IF(ISBLANK(L70),
0,
IF(L$6 = 4, 1, 0))</f>
        <v>0</v>
      </c>
      <c r="M72" s="154">
        <f>IF(ISBLANK(M70),
0,
IF(M$6= 4, 1, 0))</f>
        <v>1</v>
      </c>
      <c r="N72" s="154">
        <f>IF(ISBLANK(N70),
0,
IF(N$6 = 4, 1, 0))</f>
        <v>0</v>
      </c>
      <c r="O72" s="154">
        <f>IF(ISBLANK(O70),
0,
IF(O$6= 4, 1, 0))</f>
        <v>0</v>
      </c>
      <c r="P72" s="154">
        <f>IF(ISBLANK(P70),
0,
IF(P$6 = 4, 1, 0))</f>
        <v>0</v>
      </c>
      <c r="Q72" s="154">
        <f>IF(ISBLANK(Q70),
0,
IF(Q$6= 4, 1, 0))</f>
        <v>0</v>
      </c>
      <c r="R72" s="154">
        <f>IF(ISBLANK(R70),
0,
IF(R$6 = 4, 1, 0))</f>
        <v>0</v>
      </c>
      <c r="S72" s="239"/>
      <c r="T72" s="154">
        <f>IF(ISBLANK(T70),
0,
IF(T$6= 4, 1, 0))</f>
        <v>1</v>
      </c>
      <c r="U72" s="154">
        <f>IF(ISBLANK(U70),
0,
IF(U$6 = 4, 1, 0))</f>
        <v>0</v>
      </c>
      <c r="V72" s="154">
        <f>IF(ISBLANK(V70),
0,
IF(V$6= 4, 1, 0))</f>
        <v>0</v>
      </c>
      <c r="W72" s="154">
        <f>IF(ISBLANK(W70),
0,
IF(W$6 = 4, 1, 0))</f>
        <v>0</v>
      </c>
      <c r="X72" s="154">
        <f>IF(ISBLANK(X70),
0,
IF(X$6= 4, 1, 0))</f>
        <v>0</v>
      </c>
      <c r="Y72" s="154">
        <f>IF(ISBLANK(Y70),
0,
IF(Y$6 = 4, 1, 0))</f>
        <v>0</v>
      </c>
      <c r="Z72" s="154">
        <f>IF(ISBLANK(Z70),
0,
IF(Z$6= 4, 1, 0))</f>
        <v>1</v>
      </c>
      <c r="AA72" s="154">
        <f>IF(ISBLANK(AA70),
0,
IF(AA$6 = 4, 1, 0))</f>
        <v>0</v>
      </c>
      <c r="AB72" s="239"/>
      <c r="AC72" s="154">
        <f>IF(ISBLANK(AC70),
0,
IF(AC$6= 4, 1, 0))</f>
        <v>0</v>
      </c>
      <c r="AD72" s="154">
        <f>IF(ISBLANK(AD70),
0,
IF(AD$6 = 4, 1, 0))</f>
        <v>0</v>
      </c>
      <c r="AE72" s="154">
        <f>IF(ISBLANK(AE70),
0,
IF(AE$6= 4, 1, 0))</f>
        <v>0</v>
      </c>
      <c r="AF72" s="154">
        <f>IF(ISBLANK(AF70),
0,
IF(AF$6 = 4, 1, 0))</f>
        <v>1</v>
      </c>
      <c r="AG72" s="239"/>
      <c r="AH72" s="154">
        <f>IF(ISBLANK(AH70),
0,
IF(AH$6= 4, 1, 0))</f>
        <v>0</v>
      </c>
      <c r="AI72" s="154">
        <f>IF(ISBLANK(AI70),
0,
IF(AI$6 = 4, 1, 0))</f>
        <v>0</v>
      </c>
      <c r="AJ72" s="239"/>
      <c r="AK72" s="240">
        <f>SUM(C72:AI72)</f>
        <v>7</v>
      </c>
      <c r="AL72" s="207"/>
    </row>
    <row r="73" spans="1:38" s="27" customFormat="1" hidden="1" x14ac:dyDescent="0.2">
      <c r="A73" s="108"/>
      <c r="B73" s="220" t="s">
        <v>79</v>
      </c>
      <c r="C73" s="154">
        <f>IF(C72 = 0,
0,
IF(C70 = (C$6+D$6),1,0))</f>
        <v>1</v>
      </c>
      <c r="D73" s="154">
        <f>IF(D72 = 0,
0,
IF(D70 = (C$6+D$6),1,0))</f>
        <v>0</v>
      </c>
      <c r="E73" s="154">
        <f>IF(E72 = 0,
0,
IF(E70 = (E$6+F$6),1,0))</f>
        <v>0</v>
      </c>
      <c r="F73" s="154">
        <f>IF(F72 = 0,
0,
IF(F70 = (E$6+F$6),1,0))</f>
        <v>0</v>
      </c>
      <c r="G73" s="154">
        <f>IF(G72 = 0,
0,
IF(G70 = (G$6+H$6),1,0))</f>
        <v>0</v>
      </c>
      <c r="H73" s="154">
        <f>IF(H72 = 0,
0,
IF(H70 = (G$6+H$6),1,0))</f>
        <v>0</v>
      </c>
      <c r="I73" s="154">
        <f>IF(I72 = 0,
0,
IF(I70 = (I$6+J$6),1,0))</f>
        <v>1</v>
      </c>
      <c r="J73" s="154">
        <f>IF(J72 = 0,
0,
IF(J70 = (I$6+J$6),1,0))</f>
        <v>0</v>
      </c>
      <c r="K73" s="154">
        <f>IF(K72 = 0,
0,
IF(K70 = (K$6+L$6),1,0))</f>
        <v>0</v>
      </c>
      <c r="L73" s="154">
        <f>IF(L72 = 0,
0,
IF(L70 = (K$6+L$6),1,0))</f>
        <v>0</v>
      </c>
      <c r="M73" s="154">
        <f>IF(M72 = 0,
0,
IF(M70 = (M$6+N$6),1,0))</f>
        <v>1</v>
      </c>
      <c r="N73" s="154">
        <f>IF(N72 = 0,
0,
IF(N70 = (M$6+N$6),1,0))</f>
        <v>0</v>
      </c>
      <c r="O73" s="154">
        <f>IF(O72 = 0,
0,
IF(O70 = (O$6+P$6),1,0))</f>
        <v>0</v>
      </c>
      <c r="P73" s="154">
        <f>IF(P72 = 0,
0,
IF(P70 = (O$6+P$6),1,0))</f>
        <v>0</v>
      </c>
      <c r="Q73" s="154">
        <f>IF(Q72 = 0,
0,
IF(Q70 = (Q$6+R$6),1,0))</f>
        <v>0</v>
      </c>
      <c r="R73" s="154">
        <f>IF(R72 = 0,
0,
IF(R70 = (Q$6+R$6),1,0))</f>
        <v>0</v>
      </c>
      <c r="S73" s="239"/>
      <c r="T73" s="154">
        <f>IF(T72 = 0,
0,
IF(T70 = (T$6+U$6),1,0))</f>
        <v>0</v>
      </c>
      <c r="U73" s="154">
        <f>IF(U72 = 0,
0,
IF(U70 = (T$6+U$6),1,0))</f>
        <v>0</v>
      </c>
      <c r="V73" s="154">
        <f>IF(V72 = 0,
0,
IF(V70 = (V$6+W$6),1,0))</f>
        <v>0</v>
      </c>
      <c r="W73" s="154">
        <f>IF(W72 = 0,
0,
IF(W70 = (V$6+W$6),1,0))</f>
        <v>0</v>
      </c>
      <c r="X73" s="154">
        <f>IF(X72 = 0,
0,
IF(X70 = (X$6+Y$6),1,0))</f>
        <v>0</v>
      </c>
      <c r="Y73" s="154">
        <f>IF(Y72 = 0,
0,
IF(Y70 = (X$6+Y$6),1,0))</f>
        <v>0</v>
      </c>
      <c r="Z73" s="154">
        <f>IF(Z72 = 0,
0,
IF(Z70 = (Z$6+AA$6),1,0))</f>
        <v>0</v>
      </c>
      <c r="AA73" s="154">
        <f>IF(AA72 = 0,
0,
IF(AA70 = (Z$6+AA$6),1,0))</f>
        <v>0</v>
      </c>
      <c r="AB73" s="239"/>
      <c r="AC73" s="154">
        <f>IF(AC72 = 0,
0,
IF(AC70 = (AC$6+AD$6),1,0))</f>
        <v>0</v>
      </c>
      <c r="AD73" s="154">
        <f>IF(AD72 = 0,
0,
IF(AD70 = (AC$6+AD$6),1,0))</f>
        <v>0</v>
      </c>
      <c r="AE73" s="154">
        <f>IF(AE72 = 0,
0,
IF(AE70 = (AE$6+AF$6),1,0))</f>
        <v>0</v>
      </c>
      <c r="AF73" s="154">
        <f>IF(AF72 = 0,
0,
IF(AF70 = (AE$6+AF$6),1,0))</f>
        <v>0</v>
      </c>
      <c r="AG73" s="239"/>
      <c r="AH73" s="154">
        <f>IF(AH72 = 0,
0,
IF(AH70 = (AH$6+AI$6),1,0))</f>
        <v>0</v>
      </c>
      <c r="AI73" s="154">
        <f>IF(AI72 = 0,
0,
IF(AI70 = (AH$6+AI$6),1,0))</f>
        <v>0</v>
      </c>
      <c r="AJ73" s="239"/>
      <c r="AK73" s="240">
        <f>SUM(C73:AI73)</f>
        <v>3</v>
      </c>
      <c r="AL73" s="207"/>
    </row>
    <row r="74" spans="1:38" s="27" customFormat="1" ht="12.75" customHeight="1" x14ac:dyDescent="0.2">
      <c r="A74" s="173">
        <f>RANK(AL74,$AL$10:$AL$82,)</f>
        <v>17</v>
      </c>
      <c r="B74" s="174" t="s">
        <v>62</v>
      </c>
      <c r="C74" s="175">
        <v>5</v>
      </c>
      <c r="D74" s="176"/>
      <c r="E74" s="180"/>
      <c r="F74" s="176">
        <v>7</v>
      </c>
      <c r="G74" s="178">
        <v>6</v>
      </c>
      <c r="H74" s="179"/>
      <c r="I74" s="180">
        <v>5</v>
      </c>
      <c r="J74" s="179"/>
      <c r="K74" s="185">
        <v>5</v>
      </c>
      <c r="L74" s="179"/>
      <c r="M74" s="180">
        <v>6</v>
      </c>
      <c r="N74" s="176"/>
      <c r="O74" s="180">
        <v>6</v>
      </c>
      <c r="P74" s="176"/>
      <c r="Q74" s="182"/>
      <c r="R74" s="183">
        <v>6</v>
      </c>
      <c r="S74" s="210">
        <f>SUM(C75:R75)</f>
        <v>70</v>
      </c>
      <c r="T74" s="175">
        <v>5</v>
      </c>
      <c r="U74" s="179"/>
      <c r="V74" s="180"/>
      <c r="W74" s="179">
        <v>7</v>
      </c>
      <c r="X74" s="185">
        <v>7</v>
      </c>
      <c r="Y74" s="176"/>
      <c r="Z74" s="182"/>
      <c r="AA74" s="179">
        <v>6</v>
      </c>
      <c r="AB74" s="210">
        <f>SUM(T75:AA75)</f>
        <v>25</v>
      </c>
      <c r="AC74" s="182">
        <v>6</v>
      </c>
      <c r="AD74" s="179"/>
      <c r="AE74" s="185">
        <v>6</v>
      </c>
      <c r="AF74" s="179"/>
      <c r="AG74" s="210">
        <f>SUM(AC75:AF75)</f>
        <v>4</v>
      </c>
      <c r="AH74" s="192"/>
      <c r="AI74" s="187">
        <v>6</v>
      </c>
      <c r="AJ74" s="210">
        <f>AH75</f>
        <v>1</v>
      </c>
      <c r="AK74" s="188">
        <f>MAX($AL$10:$AL$82) - AL74</f>
        <v>69</v>
      </c>
      <c r="AL74" s="210">
        <f>$S74+$AB74+$AG74+$AJ74</f>
        <v>100</v>
      </c>
    </row>
    <row r="75" spans="1:38" s="27" customFormat="1" ht="13.5" hidden="1" thickBot="1" x14ac:dyDescent="0.25">
      <c r="A75" s="149" t="e">
        <f>RANK(AL75,$AL$10:$AL$82,)</f>
        <v>#N/A</v>
      </c>
      <c r="B75" s="129"/>
      <c r="C75" s="83">
        <f>(IF($C74&lt;&gt;"",($C$6*$O$92)+IF($C$6=4,($O$90)+IF($C74=$C$6+$D$6,$O$91,0),0),0)+IF($D74&lt;&gt;"",($D$6*$O$92)+IF($D$6=4,($O$90)+IF($D74=$C$6+$D$6,$O$91,0),0),0))</f>
        <v>11</v>
      </c>
      <c r="D75" s="84"/>
      <c r="E75" s="85">
        <f>(IF($E74&lt;&gt;"",($E$6*$O$92)+IF($E$6=4,($O$90)+IF($E74=$E$6+$F$6,$O$91,0),0),0)+IF($F74&lt;&gt;"",($F$6*$O$92)+IF($F$6=4,($O$90)+IF($F74=$E$6+$F$6,$O$91,0),0),0))</f>
        <v>3</v>
      </c>
      <c r="F75" s="84"/>
      <c r="G75" s="85">
        <f>(IF($G74&lt;&gt;"",($G$6*$O$92)+IF($G$6=4,($O$90)+IF($G74=$G$6+$H$6,$O$91,0),0),0)+IF($H74&lt;&gt;"",($H$6*$O$92)+IF($H$6=4,($O$90)+IF($H74=$G$6+$H$6,$O$91,0),0),0))</f>
        <v>11</v>
      </c>
      <c r="H75" s="84"/>
      <c r="I75" s="148">
        <f>(IF($I74&lt;&gt;"",($I$6*$O$92)+IF($I$6=4,($O$90)+IF($I74=$I$6+$J$6,$O$91,0),0),0)+IF($J74&lt;&gt;"",($J$6*$O$92)+IF($J$6=4,($O$90)+IF($J74=$I$6+$J$6,$O$91,0),0),0))</f>
        <v>9</v>
      </c>
      <c r="J75" s="86"/>
      <c r="K75" s="87">
        <f>(IF($K74&lt;&gt;"",($K$6*$O$92)+IF($K$6=4,($O$90)+IF($K74=$K$6+$L$6,$O$91,0),0),0)+IF($L74&lt;&gt;"",($L$6*$O$92)+IF($L$6=4,($O$90)+IF($L74=$K$6+$L$6,$O$91,0),0),0))</f>
        <v>9</v>
      </c>
      <c r="L75" s="84"/>
      <c r="M75" s="85">
        <f>(IF($M74&lt;&gt;"",($M$6*$O$92)+IF($M$6=4,($O$90)+IF($M74=$M$6+$N$6,$O$91,0),0),0)+IF($N74&lt;&gt;"",($N$6*$O$92)+IF($N$6=4,($O$90)+IF($N74=$M$6+$N$6,$O$91,0),0),0))</f>
        <v>9</v>
      </c>
      <c r="N75" s="84"/>
      <c r="O75" s="85">
        <f>(IF($O74&lt;&gt;"",($O$6*$O$92)+IF($O$6=4,($O$90)+IF($O74=$O$6+$P$6,$O$91,0),0),0)+IF($P74&lt;&gt;"",($P$6*$O$92)+IF($P$6=4,($O$90)+IF($P74=$O$6+$P$6,$O$91,0),0),0))</f>
        <v>9</v>
      </c>
      <c r="P75" s="84"/>
      <c r="Q75" s="85">
        <f>(IF($Q74&lt;&gt;"",($Q$6*$O$92)+IF($Q$6=4,($O$90)+IF($Q74=$Q$6+$R$6,$O$91,0),0),0)+IF($R74&lt;&gt;"",($R$6*$O$92)+IF($R$6=4,($O$90)+IF($R74=$Q$6+$R$6,$O$91,0),0),0))</f>
        <v>9</v>
      </c>
      <c r="R75" s="88"/>
      <c r="S75" s="207"/>
      <c r="T75" s="60">
        <f>(IF($T74&lt;&gt;"",($T$6*$P$92)+IF($T$6=4,($P$90)+IF($T74=$T$6+$U$6,$P$91,0),0),0)+IF($U74&lt;&gt;"",($U$6*$P$92)+IF($U$6=4,($P$90)+IF($U74=$T$6+$U$6,$P$91,0),0),0))</f>
        <v>18</v>
      </c>
      <c r="U75" s="61"/>
      <c r="V75" s="62">
        <f>(IF($V74&lt;&gt;"",($V$6*$P$92)+IF($V$6=4,($P$90)+IF($V74=$V$6+$W$6,$P$91,0),0),0)+IF($W74&lt;&gt;"",($W$6*$P$92)+IF($W$6=4,($P$90)+IF($W74=$V$6+$W$6,$P$91,0),0),0))</f>
        <v>2</v>
      </c>
      <c r="W75" s="63"/>
      <c r="X75" s="64">
        <f>(IF($X74&lt;&gt;"",($X$6*$P$92)+IF($X$6=4,($P$90)+IF($X74=$X$6+$Y$6,$P$91,0),0),0)+IF($Y74&lt;&gt;"",($Y$6*$P$92)+IF($Y$6=4,($P$90)+IF($Y74=$X$6+$Y$6,$P$91,0),0),0))</f>
        <v>3</v>
      </c>
      <c r="Y75" s="61"/>
      <c r="Z75" s="62">
        <f>(IF($Z74&lt;&gt;"",($Z$6*$P$92)+IF($Z$6=4,($P$90)+IF($Z74=$Z$6+$AA$6,$P$91,0),0),0)+IF($AA74&lt;&gt;"",($AA$6*$P$92)+IF($AA$6=4,($P$90)+IF($AA74=$Z$6+$AA$6,$P$91,0),0),0))</f>
        <v>2</v>
      </c>
      <c r="AA75" s="94"/>
      <c r="AB75" s="205"/>
      <c r="AC75" s="94">
        <f>(IF($AC74&lt;&gt;"",($AC$6*$Q$92)+IF($AC$6=4,($Q$90)+IF($AC74=$AC$6+$AD$6,$Q$91,0),0),0)+IF($AD74&lt;&gt;"",($AD$6*$Q$92)+IF($AD$6=4,($Q$90)+IF($AD74=$AC$6+$AD$6,$Q$91,0),0),0))</f>
        <v>3</v>
      </c>
      <c r="AD75" s="63"/>
      <c r="AE75" s="64">
        <f>(IF($AE74&lt;&gt;"",($AE$6*$Q$92)+IF($AE$6=4,($Q$90)+IF($AE74=$AE$6+$AF$6,$Q$91,0),0),0)+IF($AF74&lt;&gt;"",($AF$6*$Q$92)+IF($AF$6=4,($Q$90)+IF($AF74=$AE$6+$AF$6,$Q$91,0),0),0))</f>
        <v>1</v>
      </c>
      <c r="AF75" s="94"/>
      <c r="AG75" s="205"/>
      <c r="AH75" s="94">
        <f>(IF($AH74&lt;&gt;"",($AH$6*$R$92)+IF($AH$6=4,($R$90)+IF($AH74=$AH$6+$AI$6,$R$91,0),0),0)+IF($AI74&lt;&gt;"",($AI$6*$R$92)+IF($AI$6=4,($R$90)+IF($AI74=$AH$6+$AI$6,$R$91,0),0),0))</f>
        <v>1</v>
      </c>
      <c r="AI75" s="65"/>
      <c r="AJ75" s="207"/>
      <c r="AK75" s="134">
        <f>MAX($AL$10:$AL$82) - AL75</f>
        <v>169</v>
      </c>
      <c r="AL75" s="207"/>
    </row>
    <row r="76" spans="1:38" s="27" customFormat="1" hidden="1" x14ac:dyDescent="0.2">
      <c r="A76" s="108"/>
      <c r="B76" s="220" t="s">
        <v>78</v>
      </c>
      <c r="C76" s="154">
        <f>IF(ISBLANK(C74),
0,
IF(C$6= 4, 1, 0))</f>
        <v>1</v>
      </c>
      <c r="D76" s="154">
        <f>IF(ISBLANK(D74),
0,
IF(D$6 = 4, 1, 0))</f>
        <v>0</v>
      </c>
      <c r="E76" s="154">
        <f>IF(ISBLANK(E74),
0,
IF(E$6= 4, 1, 0))</f>
        <v>0</v>
      </c>
      <c r="F76" s="154">
        <f>IF(ISBLANK(F74),
0,
IF(F$6 = 4, 1, 0))</f>
        <v>0</v>
      </c>
      <c r="G76" s="154">
        <f>IF(ISBLANK(G74),
0,
IF(G$6= 4, 1, 0))</f>
        <v>1</v>
      </c>
      <c r="H76" s="154">
        <f>IF(ISBLANK(H74),
0,
IF(H$6 = 4, 1, 0))</f>
        <v>0</v>
      </c>
      <c r="I76" s="154">
        <f>IF(ISBLANK(I74),
0,
IF(I$6= 4, 1, 0))</f>
        <v>1</v>
      </c>
      <c r="J76" s="154">
        <f>IF(ISBLANK(J74),
0,
IF(J$6 = 4, 1, 0))</f>
        <v>0</v>
      </c>
      <c r="K76" s="154">
        <f>IF(ISBLANK(K74),
0,
IF(K$6= 4, 1, 0))</f>
        <v>1</v>
      </c>
      <c r="L76" s="154">
        <f>IF(ISBLANK(L74),
0,
IF(L$6 = 4, 1, 0))</f>
        <v>0</v>
      </c>
      <c r="M76" s="154">
        <f>IF(ISBLANK(M74),
0,
IF(M$6= 4, 1, 0))</f>
        <v>1</v>
      </c>
      <c r="N76" s="154">
        <f>IF(ISBLANK(N74),
0,
IF(N$6 = 4, 1, 0))</f>
        <v>0</v>
      </c>
      <c r="O76" s="154">
        <f>IF(ISBLANK(O74),
0,
IF(O$6= 4, 1, 0))</f>
        <v>1</v>
      </c>
      <c r="P76" s="154">
        <f>IF(ISBLANK(P74),
0,
IF(P$6 = 4, 1, 0))</f>
        <v>0</v>
      </c>
      <c r="Q76" s="154">
        <f>IF(ISBLANK(Q74),
0,
IF(Q$6= 4, 1, 0))</f>
        <v>0</v>
      </c>
      <c r="R76" s="154">
        <f>IF(ISBLANK(R74),
0,
IF(R$6 = 4, 1, 0))</f>
        <v>1</v>
      </c>
      <c r="S76" s="239"/>
      <c r="T76" s="154">
        <f>IF(ISBLANK(T74),
0,
IF(T$6= 4, 1, 0))</f>
        <v>1</v>
      </c>
      <c r="U76" s="154">
        <f>IF(ISBLANK(U74),
0,
IF(U$6 = 4, 1, 0))</f>
        <v>0</v>
      </c>
      <c r="V76" s="154">
        <f>IF(ISBLANK(V74),
0,
IF(V$6= 4, 1, 0))</f>
        <v>0</v>
      </c>
      <c r="W76" s="154">
        <f>IF(ISBLANK(W74),
0,
IF(W$6 = 4, 1, 0))</f>
        <v>0</v>
      </c>
      <c r="X76" s="154">
        <f>IF(ISBLANK(X74),
0,
IF(X$6= 4, 1, 0))</f>
        <v>0</v>
      </c>
      <c r="Y76" s="154">
        <f>IF(ISBLANK(Y74),
0,
IF(Y$6 = 4, 1, 0))</f>
        <v>0</v>
      </c>
      <c r="Z76" s="154">
        <f>IF(ISBLANK(Z74),
0,
IF(Z$6= 4, 1, 0))</f>
        <v>0</v>
      </c>
      <c r="AA76" s="154">
        <f>IF(ISBLANK(AA74),
0,
IF(AA$6 = 4, 1, 0))</f>
        <v>0</v>
      </c>
      <c r="AB76" s="239"/>
      <c r="AC76" s="154">
        <f>IF(ISBLANK(AC74),
0,
IF(AC$6= 4, 1, 0))</f>
        <v>0</v>
      </c>
      <c r="AD76" s="154">
        <f>IF(ISBLANK(AD74),
0,
IF(AD$6 = 4, 1, 0))</f>
        <v>0</v>
      </c>
      <c r="AE76" s="154">
        <f>IF(ISBLANK(AE74),
0,
IF(AE$6= 4, 1, 0))</f>
        <v>0</v>
      </c>
      <c r="AF76" s="154">
        <f>IF(ISBLANK(AF74),
0,
IF(AF$6 = 4, 1, 0))</f>
        <v>0</v>
      </c>
      <c r="AG76" s="239"/>
      <c r="AH76" s="154">
        <f>IF(ISBLANK(AH74),
0,
IF(AH$6= 4, 1, 0))</f>
        <v>0</v>
      </c>
      <c r="AI76" s="154">
        <f>IF(ISBLANK(AI74),
0,
IF(AI$6 = 4, 1, 0))</f>
        <v>0</v>
      </c>
      <c r="AJ76" s="239"/>
      <c r="AK76" s="240">
        <f>SUM(C76:AI76)</f>
        <v>8</v>
      </c>
      <c r="AL76" s="207"/>
    </row>
    <row r="77" spans="1:38" s="27" customFormat="1" hidden="1" x14ac:dyDescent="0.2">
      <c r="A77" s="108"/>
      <c r="B77" s="220" t="s">
        <v>79</v>
      </c>
      <c r="C77" s="154">
        <f>IF(C76 = 0,
0,
IF(C74 = (C$6+D$6),1,0))</f>
        <v>1</v>
      </c>
      <c r="D77" s="154">
        <f>IF(D76 = 0,
0,
IF(D74 = (C$6+D$6),1,0))</f>
        <v>0</v>
      </c>
      <c r="E77" s="154">
        <f>IF(E76 = 0,
0,
IF(E74 = (E$6+F$6),1,0))</f>
        <v>0</v>
      </c>
      <c r="F77" s="154">
        <f>IF(F76 = 0,
0,
IF(F74 = (E$6+F$6),1,0))</f>
        <v>0</v>
      </c>
      <c r="G77" s="154">
        <f>IF(G76 = 0,
0,
IF(G74 = (G$6+H$6),1,0))</f>
        <v>1</v>
      </c>
      <c r="H77" s="154">
        <f>IF(H76 = 0,
0,
IF(H74 = (G$6+H$6),1,0))</f>
        <v>0</v>
      </c>
      <c r="I77" s="154">
        <f>IF(I76 = 0,
0,
IF(I74 = (I$6+J$6),1,0))</f>
        <v>0</v>
      </c>
      <c r="J77" s="154">
        <f>IF(J76 = 0,
0,
IF(J74 = (I$6+J$6),1,0))</f>
        <v>0</v>
      </c>
      <c r="K77" s="154">
        <f>IF(K76 = 0,
0,
IF(K74 = (K$6+L$6),1,0))</f>
        <v>0</v>
      </c>
      <c r="L77" s="154">
        <f>IF(L76 = 0,
0,
IF(L74 = (K$6+L$6),1,0))</f>
        <v>0</v>
      </c>
      <c r="M77" s="154">
        <f>IF(M76 = 0,
0,
IF(M74 = (M$6+N$6),1,0))</f>
        <v>0</v>
      </c>
      <c r="N77" s="154">
        <f>IF(N76 = 0,
0,
IF(N74 = (M$6+N$6),1,0))</f>
        <v>0</v>
      </c>
      <c r="O77" s="154">
        <f>IF(O76 = 0,
0,
IF(O74 = (O$6+P$6),1,0))</f>
        <v>0</v>
      </c>
      <c r="P77" s="154">
        <f>IF(P76 = 0,
0,
IF(P74 = (O$6+P$6),1,0))</f>
        <v>0</v>
      </c>
      <c r="Q77" s="154">
        <f>IF(Q76 = 0,
0,
IF(Q74 = (Q$6+R$6),1,0))</f>
        <v>0</v>
      </c>
      <c r="R77" s="154">
        <f>IF(R76 = 0,
0,
IF(R74 = (Q$6+R$6),1,0))</f>
        <v>0</v>
      </c>
      <c r="S77" s="239"/>
      <c r="T77" s="154">
        <f>IF(T76 = 0,
0,
IF(T74 = (T$6+U$6),1,0))</f>
        <v>1</v>
      </c>
      <c r="U77" s="154">
        <f>IF(U76 = 0,
0,
IF(U74 = (T$6+U$6),1,0))</f>
        <v>0</v>
      </c>
      <c r="V77" s="154">
        <f>IF(V76 = 0,
0,
IF(V74 = (V$6+W$6),1,0))</f>
        <v>0</v>
      </c>
      <c r="W77" s="154">
        <f>IF(W76 = 0,
0,
IF(W74 = (V$6+W$6),1,0))</f>
        <v>0</v>
      </c>
      <c r="X77" s="154">
        <f>IF(X76 = 0,
0,
IF(X74 = (X$6+Y$6),1,0))</f>
        <v>0</v>
      </c>
      <c r="Y77" s="154">
        <f>IF(Y76 = 0,
0,
IF(Y74 = (X$6+Y$6),1,0))</f>
        <v>0</v>
      </c>
      <c r="Z77" s="154">
        <f>IF(Z76 = 0,
0,
IF(Z74 = (Z$6+AA$6),1,0))</f>
        <v>0</v>
      </c>
      <c r="AA77" s="154">
        <f>IF(AA76 = 0,
0,
IF(AA74 = (Z$6+AA$6),1,0))</f>
        <v>0</v>
      </c>
      <c r="AB77" s="239"/>
      <c r="AC77" s="154">
        <f>IF(AC76 = 0,
0,
IF(AC74 = (AC$6+AD$6),1,0))</f>
        <v>0</v>
      </c>
      <c r="AD77" s="154">
        <f>IF(AD76 = 0,
0,
IF(AD74 = (AC$6+AD$6),1,0))</f>
        <v>0</v>
      </c>
      <c r="AE77" s="154">
        <f>IF(AE76 = 0,
0,
IF(AE74 = (AE$6+AF$6),1,0))</f>
        <v>0</v>
      </c>
      <c r="AF77" s="154">
        <f>IF(AF76 = 0,
0,
IF(AF74 = (AE$6+AF$6),1,0))</f>
        <v>0</v>
      </c>
      <c r="AG77" s="239"/>
      <c r="AH77" s="154">
        <f>IF(AH76 = 0,
0,
IF(AH74 = (AH$6+AI$6),1,0))</f>
        <v>0</v>
      </c>
      <c r="AI77" s="154">
        <f>IF(AI76 = 0,
0,
IF(AI74 = (AH$6+AI$6),1,0))</f>
        <v>0</v>
      </c>
      <c r="AJ77" s="239"/>
      <c r="AK77" s="240">
        <f>SUM(C77:AI77)</f>
        <v>3</v>
      </c>
      <c r="AL77" s="207"/>
    </row>
    <row r="78" spans="1:38" s="27" customFormat="1" ht="12.75" customHeight="1" x14ac:dyDescent="0.2">
      <c r="A78" s="149">
        <f>RANK(AL78,$AL$10:$AL$82,)</f>
        <v>18</v>
      </c>
      <c r="B78" s="93" t="s">
        <v>67</v>
      </c>
      <c r="C78" s="153">
        <v>5</v>
      </c>
      <c r="D78" s="46"/>
      <c r="E78" s="45"/>
      <c r="F78" s="46">
        <v>7</v>
      </c>
      <c r="G78" s="151">
        <v>6</v>
      </c>
      <c r="H78" s="48"/>
      <c r="I78" s="156">
        <v>6</v>
      </c>
      <c r="J78" s="48"/>
      <c r="K78" s="50">
        <v>5</v>
      </c>
      <c r="L78" s="48"/>
      <c r="M78" s="45">
        <v>7</v>
      </c>
      <c r="N78" s="46"/>
      <c r="O78" s="45"/>
      <c r="P78" s="46">
        <v>7</v>
      </c>
      <c r="Q78" s="49">
        <v>7</v>
      </c>
      <c r="R78" s="51"/>
      <c r="S78" s="206">
        <f>SUM(C79:R79)</f>
        <v>54</v>
      </c>
      <c r="T78" s="47">
        <v>6</v>
      </c>
      <c r="U78" s="48"/>
      <c r="V78" s="45"/>
      <c r="W78" s="48">
        <v>6</v>
      </c>
      <c r="X78" s="50">
        <v>6</v>
      </c>
      <c r="Y78" s="46"/>
      <c r="Z78" s="151">
        <v>6</v>
      </c>
      <c r="AA78" s="48"/>
      <c r="AB78" s="206">
        <f>SUM(T79:AA79)</f>
        <v>37</v>
      </c>
      <c r="AC78" s="49">
        <v>6</v>
      </c>
      <c r="AD78" s="48"/>
      <c r="AE78" s="50">
        <v>7</v>
      </c>
      <c r="AF78" s="48"/>
      <c r="AG78" s="206">
        <f>SUM(AC79:AF79)</f>
        <v>4</v>
      </c>
      <c r="AH78" s="111"/>
      <c r="AI78" s="59">
        <v>5</v>
      </c>
      <c r="AJ78" s="206">
        <f>AH79</f>
        <v>1</v>
      </c>
      <c r="AK78" s="134">
        <f>MAX($AL$10:$AL$82) - AL78</f>
        <v>73</v>
      </c>
      <c r="AL78" s="206">
        <f>$S78+$AB78+$AG78+$AJ78</f>
        <v>96</v>
      </c>
    </row>
    <row r="79" spans="1:38" s="27" customFormat="1" ht="13.5" hidden="1" thickBot="1" x14ac:dyDescent="0.25">
      <c r="A79" s="149" t="e">
        <f>RANK(AL79,$AL$10:$AL$82,)</f>
        <v>#N/A</v>
      </c>
      <c r="B79" s="129"/>
      <c r="C79" s="83">
        <f>(IF($C78&lt;&gt;"",($C$6*$O$92)+IF($C$6=4,($O$90)+IF($C78=$C$6+$D$6,$O$91,0),0),0)+IF($D78&lt;&gt;"",($D$6*$O$92)+IF($D$6=4,($O$90)+IF($D78=$C$6+$D$6,$O$91,0),0),0))</f>
        <v>11</v>
      </c>
      <c r="D79" s="84"/>
      <c r="E79" s="85">
        <f>(IF($E78&lt;&gt;"",($E$6*$O$92)+IF($E$6=4,($O$90)+IF($E78=$E$6+$F$6,$O$91,0),0),0)+IF($F78&lt;&gt;"",($F$6*$O$92)+IF($F$6=4,($O$90)+IF($F78=$E$6+$F$6,$O$91,0),0),0))</f>
        <v>3</v>
      </c>
      <c r="F79" s="84"/>
      <c r="G79" s="85">
        <f>(IF($G78&lt;&gt;"",($G$6*$O$92)+IF($G$6=4,($O$90)+IF($G78=$G$6+$H$6,$O$91,0),0),0)+IF($H78&lt;&gt;"",($H$6*$O$92)+IF($H$6=4,($O$90)+IF($H78=$G$6+$H$6,$O$91,0),0),0))</f>
        <v>11</v>
      </c>
      <c r="H79" s="84"/>
      <c r="I79" s="148">
        <f>(IF($I78&lt;&gt;"",($I$6*$O$92)+IF($I$6=4,($O$90)+IF($I78=$I$6+$J$6,$O$91,0),0),0)+IF($J78&lt;&gt;"",($J$6*$O$92)+IF($J$6=4,($O$90)+IF($J78=$I$6+$J$6,$O$91,0),0),0))</f>
        <v>11</v>
      </c>
      <c r="J79" s="86"/>
      <c r="K79" s="87">
        <f>(IF($K78&lt;&gt;"",($K$6*$O$92)+IF($K$6=4,($O$90)+IF($K78=$K$6+$L$6,$O$91,0),0),0)+IF($L78&lt;&gt;"",($L$6*$O$92)+IF($L$6=4,($O$90)+IF($L78=$K$6+$L$6,$O$91,0),0),0))</f>
        <v>9</v>
      </c>
      <c r="L79" s="84"/>
      <c r="M79" s="85">
        <f>(IF($M78&lt;&gt;"",($M$6*$O$92)+IF($M$6=4,($O$90)+IF($M78=$M$6+$N$6,$O$91,0),0),0)+IF($N78&lt;&gt;"",($N$6*$O$92)+IF($N$6=4,($O$90)+IF($N78=$M$6+$N$6,$O$91,0),0),0))</f>
        <v>9</v>
      </c>
      <c r="N79" s="84"/>
      <c r="O79" s="85">
        <f>(IF($O78&lt;&gt;"",($O$6*$O$92)+IF($O$6=4,($O$90)+IF($O78=$O$6+$P$6,$O$91,0),0),0)+IF($P78&lt;&gt;"",($P$6*$O$92)+IF($P$6=4,($O$90)+IF($P78=$O$6+$P$6,$O$91,0),0),0))</f>
        <v>0</v>
      </c>
      <c r="P79" s="84"/>
      <c r="Q79" s="85">
        <f>(IF($Q78&lt;&gt;"",($Q$6*$O$92)+IF($Q$6=4,($O$90)+IF($Q78=$Q$6+$R$6,$O$91,0),0),0)+IF($R78&lt;&gt;"",($R$6*$O$92)+IF($R$6=4,($O$90)+IF($R78=$Q$6+$R$6,$O$91,0),0),0))</f>
        <v>0</v>
      </c>
      <c r="R79" s="88"/>
      <c r="S79" s="207"/>
      <c r="T79" s="60">
        <f>(IF($T78&lt;&gt;"",($T$6*$P$92)+IF($T$6=4,($P$90)+IF($T78=$T$6+$U$6,$P$91,0),0),0)+IF($U78&lt;&gt;"",($U$6*$P$92)+IF($U$6=4,($P$90)+IF($U78=$T$6+$U$6,$P$91,0),0),0))</f>
        <v>14</v>
      </c>
      <c r="U79" s="61"/>
      <c r="V79" s="62">
        <f>(IF($V78&lt;&gt;"",($V$6*$P$92)+IF($V$6=4,($P$90)+IF($V78=$V$6+$W$6,$P$91,0),0),0)+IF($W78&lt;&gt;"",($W$6*$P$92)+IF($W$6=4,($P$90)+IF($W78=$V$6+$W$6,$P$91,0),0),0))</f>
        <v>2</v>
      </c>
      <c r="W79" s="63"/>
      <c r="X79" s="64">
        <f>(IF($X78&lt;&gt;"",($X$6*$P$92)+IF($X$6=4,($P$90)+IF($X78=$X$6+$Y$6,$P$91,0),0),0)+IF($Y78&lt;&gt;"",($Y$6*$P$92)+IF($Y$6=4,($P$90)+IF($Y78=$X$6+$Y$6,$P$91,0),0),0))</f>
        <v>3</v>
      </c>
      <c r="Y79" s="61"/>
      <c r="Z79" s="62">
        <f>(IF($Z78&lt;&gt;"",($Z$6*$P$92)+IF($Z$6=4,($P$90)+IF($Z78=$Z$6+$AA$6,$P$91,0),0),0)+IF($AA78&lt;&gt;"",($AA$6*$P$92)+IF($AA$6=4,($P$90)+IF($AA78=$Z$6+$AA$6,$P$91,0),0),0))</f>
        <v>18</v>
      </c>
      <c r="AA79" s="94"/>
      <c r="AB79" s="205"/>
      <c r="AC79" s="94">
        <f>(IF($AC78&lt;&gt;"",($AC$6*$Q$92)+IF($AC$6=4,($Q$90)+IF($AC78=$AC$6+$AD$6,$Q$91,0),0),0)+IF($AD78&lt;&gt;"",($AD$6*$Q$92)+IF($AD$6=4,($Q$90)+IF($AD78=$AC$6+$AD$6,$Q$91,0),0),0))</f>
        <v>3</v>
      </c>
      <c r="AD79" s="63"/>
      <c r="AE79" s="64">
        <f>(IF($AE78&lt;&gt;"",($AE$6*$Q$92)+IF($AE$6=4,($Q$90)+IF($AE78=$AE$6+$AF$6,$Q$91,0),0),0)+IF($AF78&lt;&gt;"",($AF$6*$Q$92)+IF($AF$6=4,($Q$90)+IF($AF78=$AE$6+$AF$6,$Q$91,0),0),0))</f>
        <v>1</v>
      </c>
      <c r="AF79" s="94"/>
      <c r="AG79" s="205"/>
      <c r="AH79" s="94">
        <f>(IF($AH78&lt;&gt;"",($AH$6*$R$92)+IF($AH$6=4,($R$90)+IF($AH78=$AH$6+$AI$6,$R$91,0),0),0)+IF($AI78&lt;&gt;"",($AI$6*$R$92)+IF($AI$6=4,($R$90)+IF($AI78=$AH$6+$AI$6,$R$91,0),0),0))</f>
        <v>1</v>
      </c>
      <c r="AI79" s="65"/>
      <c r="AJ79" s="207"/>
      <c r="AK79" s="134">
        <f>MAX($AL$10:$AL$82) - AL79</f>
        <v>169</v>
      </c>
      <c r="AL79" s="207"/>
    </row>
    <row r="80" spans="1:38" s="27" customFormat="1" hidden="1" x14ac:dyDescent="0.2">
      <c r="A80" s="108"/>
      <c r="B80" s="220" t="s">
        <v>78</v>
      </c>
      <c r="C80" s="154">
        <f>IF(ISBLANK(C78),
0,
IF(C$6= 4, 1, 0))</f>
        <v>1</v>
      </c>
      <c r="D80" s="154">
        <f>IF(ISBLANK(D78),
0,
IF(D$6 = 4, 1, 0))</f>
        <v>0</v>
      </c>
      <c r="E80" s="154">
        <f>IF(ISBLANK(E78),
0,
IF(E$6= 4, 1, 0))</f>
        <v>0</v>
      </c>
      <c r="F80" s="154">
        <f>IF(ISBLANK(F78),
0,
IF(F$6 = 4, 1, 0))</f>
        <v>0</v>
      </c>
      <c r="G80" s="154">
        <f>IF(ISBLANK(G78),
0,
IF(G$6= 4, 1, 0))</f>
        <v>1</v>
      </c>
      <c r="H80" s="154">
        <f>IF(ISBLANK(H78),
0,
IF(H$6 = 4, 1, 0))</f>
        <v>0</v>
      </c>
      <c r="I80" s="154">
        <f>IF(ISBLANK(I78),
0,
IF(I$6= 4, 1, 0))</f>
        <v>1</v>
      </c>
      <c r="J80" s="154">
        <f>IF(ISBLANK(J78),
0,
IF(J$6 = 4, 1, 0))</f>
        <v>0</v>
      </c>
      <c r="K80" s="154">
        <f>IF(ISBLANK(K78),
0,
IF(K$6= 4, 1, 0))</f>
        <v>1</v>
      </c>
      <c r="L80" s="154">
        <f>IF(ISBLANK(L78),
0,
IF(L$6 = 4, 1, 0))</f>
        <v>0</v>
      </c>
      <c r="M80" s="154">
        <f>IF(ISBLANK(M78),
0,
IF(M$6= 4, 1, 0))</f>
        <v>1</v>
      </c>
      <c r="N80" s="154">
        <f>IF(ISBLANK(N78),
0,
IF(N$6 = 4, 1, 0))</f>
        <v>0</v>
      </c>
      <c r="O80" s="154">
        <f>IF(ISBLANK(O78),
0,
IF(O$6= 4, 1, 0))</f>
        <v>0</v>
      </c>
      <c r="P80" s="154">
        <f>IF(ISBLANK(P78),
0,
IF(P$6 = 4, 1, 0))</f>
        <v>0</v>
      </c>
      <c r="Q80" s="154">
        <f>IF(ISBLANK(Q78),
0,
IF(Q$6= 4, 1, 0))</f>
        <v>0</v>
      </c>
      <c r="R80" s="154">
        <f>IF(ISBLANK(R78),
0,
IF(R$6 = 4, 1, 0))</f>
        <v>0</v>
      </c>
      <c r="S80" s="239"/>
      <c r="T80" s="154">
        <f>IF(ISBLANK(T78),
0,
IF(T$6= 4, 1, 0))</f>
        <v>1</v>
      </c>
      <c r="U80" s="154">
        <f>IF(ISBLANK(U78),
0,
IF(U$6 = 4, 1, 0))</f>
        <v>0</v>
      </c>
      <c r="V80" s="154">
        <f>IF(ISBLANK(V78),
0,
IF(V$6= 4, 1, 0))</f>
        <v>0</v>
      </c>
      <c r="W80" s="154">
        <f>IF(ISBLANK(W78),
0,
IF(W$6 = 4, 1, 0))</f>
        <v>0</v>
      </c>
      <c r="X80" s="154">
        <f>IF(ISBLANK(X78),
0,
IF(X$6= 4, 1, 0))</f>
        <v>0</v>
      </c>
      <c r="Y80" s="154">
        <f>IF(ISBLANK(Y78),
0,
IF(Y$6 = 4, 1, 0))</f>
        <v>0</v>
      </c>
      <c r="Z80" s="154">
        <f>IF(ISBLANK(Z78),
0,
IF(Z$6= 4, 1, 0))</f>
        <v>1</v>
      </c>
      <c r="AA80" s="154">
        <f>IF(ISBLANK(AA78),
0,
IF(AA$6 = 4, 1, 0))</f>
        <v>0</v>
      </c>
      <c r="AB80" s="239"/>
      <c r="AC80" s="154">
        <f>IF(ISBLANK(AC78),
0,
IF(AC$6= 4, 1, 0))</f>
        <v>0</v>
      </c>
      <c r="AD80" s="154">
        <f>IF(ISBLANK(AD78),
0,
IF(AD$6 = 4, 1, 0))</f>
        <v>0</v>
      </c>
      <c r="AE80" s="154">
        <f>IF(ISBLANK(AE78),
0,
IF(AE$6= 4, 1, 0))</f>
        <v>0</v>
      </c>
      <c r="AF80" s="154">
        <f>IF(ISBLANK(AF78),
0,
IF(AF$6 = 4, 1, 0))</f>
        <v>0</v>
      </c>
      <c r="AG80" s="239"/>
      <c r="AH80" s="154">
        <f>IF(ISBLANK(AH78),
0,
IF(AH$6= 4, 1, 0))</f>
        <v>0</v>
      </c>
      <c r="AI80" s="154">
        <f>IF(ISBLANK(AI78),
0,
IF(AI$6 = 4, 1, 0))</f>
        <v>0</v>
      </c>
      <c r="AJ80" s="239"/>
      <c r="AK80" s="240">
        <f>SUM(C80:AI80)</f>
        <v>7</v>
      </c>
      <c r="AL80" s="207"/>
    </row>
    <row r="81" spans="1:38" s="27" customFormat="1" hidden="1" x14ac:dyDescent="0.2">
      <c r="A81" s="108"/>
      <c r="B81" s="220" t="s">
        <v>79</v>
      </c>
      <c r="C81" s="154">
        <f>IF(C80 = 0,
0,
IF(C78 = (C$6+D$6),1,0))</f>
        <v>1</v>
      </c>
      <c r="D81" s="154">
        <f>IF(D80 = 0,
0,
IF(D78 = (C$6+D$6),1,0))</f>
        <v>0</v>
      </c>
      <c r="E81" s="154">
        <f>IF(E80 = 0,
0,
IF(E78 = (E$6+F$6),1,0))</f>
        <v>0</v>
      </c>
      <c r="F81" s="154">
        <f>IF(F80 = 0,
0,
IF(F78 = (E$6+F$6),1,0))</f>
        <v>0</v>
      </c>
      <c r="G81" s="154">
        <f>IF(G80 = 0,
0,
IF(G78 = (G$6+H$6),1,0))</f>
        <v>1</v>
      </c>
      <c r="H81" s="154">
        <f>IF(H80 = 0,
0,
IF(H78 = (G$6+H$6),1,0))</f>
        <v>0</v>
      </c>
      <c r="I81" s="154">
        <f>IF(I80 = 0,
0,
IF(I78 = (I$6+J$6),1,0))</f>
        <v>1</v>
      </c>
      <c r="J81" s="154">
        <f>IF(J80 = 0,
0,
IF(J78 = (I$6+J$6),1,0))</f>
        <v>0</v>
      </c>
      <c r="K81" s="154">
        <f>IF(K80 = 0,
0,
IF(K78 = (K$6+L$6),1,0))</f>
        <v>0</v>
      </c>
      <c r="L81" s="154">
        <f>IF(L80 = 0,
0,
IF(L78 = (K$6+L$6),1,0))</f>
        <v>0</v>
      </c>
      <c r="M81" s="154">
        <f>IF(M80 = 0,
0,
IF(M78 = (M$6+N$6),1,0))</f>
        <v>0</v>
      </c>
      <c r="N81" s="154">
        <f>IF(N80 = 0,
0,
IF(N78 = (M$6+N$6),1,0))</f>
        <v>0</v>
      </c>
      <c r="O81" s="154">
        <f>IF(O80 = 0,
0,
IF(O78 = (O$6+P$6),1,0))</f>
        <v>0</v>
      </c>
      <c r="P81" s="154">
        <f>IF(P80 = 0,
0,
IF(P78 = (O$6+P$6),1,0))</f>
        <v>0</v>
      </c>
      <c r="Q81" s="154">
        <f>IF(Q80 = 0,
0,
IF(Q78 = (Q$6+R$6),1,0))</f>
        <v>0</v>
      </c>
      <c r="R81" s="154">
        <f>IF(R80 = 0,
0,
IF(R78 = (Q$6+R$6),1,0))</f>
        <v>0</v>
      </c>
      <c r="S81" s="239"/>
      <c r="T81" s="154">
        <f>IF(T80 = 0,
0,
IF(T78 = (T$6+U$6),1,0))</f>
        <v>0</v>
      </c>
      <c r="U81" s="154">
        <f>IF(U80 = 0,
0,
IF(U78 = (T$6+U$6),1,0))</f>
        <v>0</v>
      </c>
      <c r="V81" s="154">
        <f>IF(V80 = 0,
0,
IF(V78 = (V$6+W$6),1,0))</f>
        <v>0</v>
      </c>
      <c r="W81" s="154">
        <f>IF(W80 = 0,
0,
IF(W78 = (V$6+W$6),1,0))</f>
        <v>0</v>
      </c>
      <c r="X81" s="154">
        <f>IF(X80 = 0,
0,
IF(X78 = (X$6+Y$6),1,0))</f>
        <v>0</v>
      </c>
      <c r="Y81" s="154">
        <f>IF(Y80 = 0,
0,
IF(Y78 = (X$6+Y$6),1,0))</f>
        <v>0</v>
      </c>
      <c r="Z81" s="154">
        <f>IF(Z80 = 0,
0,
IF(Z78 = (Z$6+AA$6),1,0))</f>
        <v>1</v>
      </c>
      <c r="AA81" s="154">
        <f>IF(AA80 = 0,
0,
IF(AA78 = (Z$6+AA$6),1,0))</f>
        <v>0</v>
      </c>
      <c r="AB81" s="239"/>
      <c r="AC81" s="154">
        <f>IF(AC80 = 0,
0,
IF(AC78 = (AC$6+AD$6),1,0))</f>
        <v>0</v>
      </c>
      <c r="AD81" s="154">
        <f>IF(AD80 = 0,
0,
IF(AD78 = (AC$6+AD$6),1,0))</f>
        <v>0</v>
      </c>
      <c r="AE81" s="154">
        <f>IF(AE80 = 0,
0,
IF(AE78 = (AE$6+AF$6),1,0))</f>
        <v>0</v>
      </c>
      <c r="AF81" s="154">
        <f>IF(AF80 = 0,
0,
IF(AF78 = (AE$6+AF$6),1,0))</f>
        <v>0</v>
      </c>
      <c r="AG81" s="239"/>
      <c r="AH81" s="154">
        <f>IF(AH80 = 0,
0,
IF(AH78 = (AH$6+AI$6),1,0))</f>
        <v>0</v>
      </c>
      <c r="AI81" s="154">
        <f>IF(AI80 = 0,
0,
IF(AI78 = (AH$6+AI$6),1,0))</f>
        <v>0</v>
      </c>
      <c r="AJ81" s="239"/>
      <c r="AK81" s="240">
        <f>SUM(C81:AI81)</f>
        <v>4</v>
      </c>
      <c r="AL81" s="207"/>
    </row>
    <row r="82" spans="1:38" s="27" customFormat="1" ht="12.75" customHeight="1" thickBot="1" x14ac:dyDescent="0.25">
      <c r="A82" s="173">
        <f>RANK(AL82,$AL$10:$AL$82,)</f>
        <v>19</v>
      </c>
      <c r="B82" s="307" t="s">
        <v>71</v>
      </c>
      <c r="C82" s="184">
        <v>6</v>
      </c>
      <c r="D82" s="176"/>
      <c r="E82" s="180"/>
      <c r="F82" s="176">
        <v>7</v>
      </c>
      <c r="G82" s="182">
        <v>5</v>
      </c>
      <c r="H82" s="179"/>
      <c r="I82" s="180">
        <v>5</v>
      </c>
      <c r="J82" s="179"/>
      <c r="K82" s="185">
        <v>5</v>
      </c>
      <c r="L82" s="179"/>
      <c r="M82" s="180">
        <v>7</v>
      </c>
      <c r="N82" s="176"/>
      <c r="O82" s="180">
        <v>7</v>
      </c>
      <c r="P82" s="176"/>
      <c r="Q82" s="182"/>
      <c r="R82" s="183">
        <v>6</v>
      </c>
      <c r="S82" s="309">
        <f>SUM(C83:R83)</f>
        <v>66</v>
      </c>
      <c r="T82" s="184"/>
      <c r="U82" s="179">
        <v>7</v>
      </c>
      <c r="V82" s="180"/>
      <c r="W82" s="179">
        <v>6</v>
      </c>
      <c r="X82" s="185">
        <v>7</v>
      </c>
      <c r="Y82" s="176"/>
      <c r="Z82" s="178">
        <v>6</v>
      </c>
      <c r="AA82" s="179"/>
      <c r="AB82" s="211">
        <f>SUM(T83:AA83)</f>
        <v>24</v>
      </c>
      <c r="AC82" s="182">
        <v>7</v>
      </c>
      <c r="AD82" s="179"/>
      <c r="AE82" s="185">
        <v>7</v>
      </c>
      <c r="AF82" s="179"/>
      <c r="AG82" s="211">
        <f>SUM(AC83:AF83)</f>
        <v>4</v>
      </c>
      <c r="AH82" s="192"/>
      <c r="AI82" s="187">
        <v>7</v>
      </c>
      <c r="AJ82" s="309">
        <f>AH83</f>
        <v>1</v>
      </c>
      <c r="AK82" s="193">
        <f>MAX($AL$10:$AL$82) - AL82</f>
        <v>74</v>
      </c>
      <c r="AL82" s="211">
        <f>$S82+$AB82+$AG82+$AJ82</f>
        <v>95</v>
      </c>
    </row>
    <row r="83" spans="1:38" s="27" customFormat="1" ht="13.5" hidden="1" thickBot="1" x14ac:dyDescent="0.25">
      <c r="A83" s="79"/>
      <c r="B83" s="78"/>
      <c r="C83" s="310">
        <f>(IF($C82&lt;&gt;"",($C$6*$O$92)+IF($C$6=4,($O$90)+IF($C82=$C$6+$D$6,$O$91,0),0),0)+IF($D82&lt;&gt;"",($D$6*$O$92)+IF($D$6=4,($O$90)+IF($D82=$C$6+$D$6,$O$91,0),0),0))</f>
        <v>9</v>
      </c>
      <c r="D83" s="311"/>
      <c r="E83" s="312">
        <f>(IF($E82&lt;&gt;"",($E$6*$O$92)+IF($E$6=4,($O$90)+IF($E82=$E$6+$F$6,$O$91,0),0),0)+IF($F82&lt;&gt;"",($F$6*$O$92)+IF($F$6=4,($O$90)+IF($F82=$E$6+$F$6,$O$91,0),0),0))</f>
        <v>3</v>
      </c>
      <c r="F83" s="311"/>
      <c r="G83" s="312">
        <f>(IF($G82&lt;&gt;"",($G$6*$O$92)+IF($G$6=4,($O$90)+IF($G82=$G$6+$H$6,$O$91,0),0),0)+IF($H82&lt;&gt;"",($H$6*$O$92)+IF($H$6=4,($O$90)+IF($H82=$G$6+$H$6,$O$91,0),0),0))</f>
        <v>9</v>
      </c>
      <c r="H83" s="311"/>
      <c r="I83" s="312">
        <f>(IF($I82&lt;&gt;"",($I$6*$O$92)+IF($I$6=4,($O$90)+IF($I82=$I$6+$J$6,$O$91,0),0),0)+IF($J82&lt;&gt;"",($J$6*$O$92)+IF($J$6=4,($O$90)+IF($J82=$I$6+$J$6,$O$91,0),0),0))</f>
        <v>9</v>
      </c>
      <c r="J83" s="313"/>
      <c r="K83" s="314">
        <f>(IF($K82&lt;&gt;"",($K$6*$O$92)+IF($K$6=4,($O$90)+IF($K82=$K$6+$L$6,$O$91,0),0),0)+IF($L82&lt;&gt;"",($L$6*$O$92)+IF($L$6=4,($O$90)+IF($L82=$K$6+$L$6,$O$91,0),0),0))</f>
        <v>9</v>
      </c>
      <c r="L83" s="311"/>
      <c r="M83" s="312">
        <f>(IF($M82&lt;&gt;"",($M$6*$O$92)+IF($M$6=4,($O$90)+IF($M82=$M$6+$N$6,$O$91,0),0),0)+IF($N82&lt;&gt;"",($N$6*$O$92)+IF($N$6=4,($O$90)+IF($N82=$M$6+$N$6,$O$91,0),0),0))</f>
        <v>9</v>
      </c>
      <c r="N83" s="311"/>
      <c r="O83" s="312">
        <f>(IF($O82&lt;&gt;"",($O$6*$O$92)+IF($O$6=4,($O$90)+IF($O82=$O$6+$P$6,$O$91,0),0),0)+IF($P82&lt;&gt;"",($P$6*$O$92)+IF($P$6=4,($O$90)+IF($P82=$O$6+$P$6,$O$91,0),0),0))</f>
        <v>9</v>
      </c>
      <c r="P83" s="311"/>
      <c r="Q83" s="312">
        <f>(IF($Q82&lt;&gt;"",($Q$6*$O$92)+IF($Q$6=4,($O$90)+IF($Q82=$Q$6+$R$6,$O$91,0),0),0)+IF($R82&lt;&gt;"",($R$6*$O$92)+IF($R$6=4,($O$90)+IF($R82=$Q$6+$R$6,$O$91,0),0),0))</f>
        <v>9</v>
      </c>
      <c r="R83" s="315"/>
      <c r="S83" s="308"/>
      <c r="T83" s="310">
        <f>(IF($T82&lt;&gt;"",($T$6*$P$92)+IF($T$6=4,($P$90)+IF($T82=$T$6+$U$6,$P$91,0),0),0)+IF($U82&lt;&gt;"",($U$6*$P$92)+IF($U$6=4,($P$90)+IF($U82=$T$6+$U$6,$P$91,0),0),0))</f>
        <v>1</v>
      </c>
      <c r="U83" s="311"/>
      <c r="V83" s="312">
        <f>(IF($V82&lt;&gt;"",($V$6*$P$92)+IF($V$6=4,($P$90)+IF($V82=$V$6+$W$6,$P$91,0),0),0)+IF($W82&lt;&gt;"",($W$6*$P$92)+IF($W$6=4,($P$90)+IF($W82=$V$6+$W$6,$P$91,0),0),0))</f>
        <v>2</v>
      </c>
      <c r="W83" s="313"/>
      <c r="X83" s="314">
        <f>(IF($X82&lt;&gt;"",($X$6*$P$92)+IF($X$6=4,($P$90)+IF($X82=$X$6+$Y$6,$P$91,0),0),0)+IF($Y82&lt;&gt;"",($Y$6*$P$92)+IF($Y$6=4,($P$90)+IF($Y82=$X$6+$Y$6,$P$91,0),0),0))</f>
        <v>3</v>
      </c>
      <c r="Y83" s="311"/>
      <c r="Z83" s="312">
        <f>(IF($Z82&lt;&gt;"",($Z$6*$P$92)+IF($Z$6=4,($P$90)+IF($Z82=$Z$6+$AA$6,$P$91,0),0),0)+IF($AA82&lt;&gt;"",($AA$6*$P$92)+IF($AA$6=4,($P$90)+IF($AA82=$Z$6+$AA$6,$P$91,0),0),0))</f>
        <v>18</v>
      </c>
      <c r="AA83" s="315"/>
      <c r="AB83" s="114"/>
      <c r="AC83" s="310">
        <f>(IF($AC82&lt;&gt;"",($AC$6*$Q$92)+IF($AC$6=4,($Q$90)+IF($AC82=$AC$6+$AD$6,$Q$91,0),0),0)+IF($AD82&lt;&gt;"",($AD$6*$Q$92)+IF($AD$6=4,($Q$90)+IF($AD82=$AC$6+$AD$6,$Q$91,0),0),0))</f>
        <v>3</v>
      </c>
      <c r="AD83" s="313"/>
      <c r="AE83" s="314">
        <f>(IF($AE82&lt;&gt;"",($AE$6*$Q$92)+IF($AE$6=4,($Q$90)+IF($AE82=$AE$6+$AF$6,$Q$91,0),0),0)+IF($AF82&lt;&gt;"",($AF$6*$Q$92)+IF($AF$6=4,($Q$90)+IF($AF82=$AE$6+$AF$6,$Q$91,0),0),0))</f>
        <v>1</v>
      </c>
      <c r="AF83" s="315"/>
      <c r="AG83" s="114"/>
      <c r="AH83" s="310">
        <f>(IF($AH82&lt;&gt;"",($AH$6*$R$92)+IF($AH$6=4,($R$90)+IF($AH82=$AH$6+$AI$6,$R$91,0),0),0)+IF($AI82&lt;&gt;"",($AI$6*$R$92)+IF($AI$6=4,($R$90)+IF($AI82=$AH$6+$AI$6,$R$91,0),0),0))</f>
        <v>1</v>
      </c>
      <c r="AI83" s="315"/>
      <c r="AJ83" s="316"/>
      <c r="AK83" s="115"/>
    </row>
    <row r="84" spans="1:38" s="27" customFormat="1" hidden="1" x14ac:dyDescent="0.2">
      <c r="A84" s="108"/>
      <c r="B84" s="220" t="s">
        <v>78</v>
      </c>
      <c r="C84" s="154">
        <f>IF(ISBLANK(C82),
0,
IF(C$6= 4, 1, 0))</f>
        <v>1</v>
      </c>
      <c r="D84" s="154">
        <f>IF(ISBLANK(D82),
0,
IF(D$6 = 4, 1, 0))</f>
        <v>0</v>
      </c>
      <c r="E84" s="154">
        <f>IF(ISBLANK(E82),
0,
IF(E$6= 4, 1, 0))</f>
        <v>0</v>
      </c>
      <c r="F84" s="154">
        <f>IF(ISBLANK(F82),
0,
IF(F$6 = 4, 1, 0))</f>
        <v>0</v>
      </c>
      <c r="G84" s="154">
        <f>IF(ISBLANK(G82),
0,
IF(G$6= 4, 1, 0))</f>
        <v>1</v>
      </c>
      <c r="H84" s="154">
        <f>IF(ISBLANK(H82),
0,
IF(H$6 = 4, 1, 0))</f>
        <v>0</v>
      </c>
      <c r="I84" s="154">
        <f>IF(ISBLANK(I82),
0,
IF(I$6= 4, 1, 0))</f>
        <v>1</v>
      </c>
      <c r="J84" s="154">
        <f>IF(ISBLANK(J82),
0,
IF(J$6 = 4, 1, 0))</f>
        <v>0</v>
      </c>
      <c r="K84" s="154">
        <f>IF(ISBLANK(K82),
0,
IF(K$6= 4, 1, 0))</f>
        <v>1</v>
      </c>
      <c r="L84" s="154">
        <f>IF(ISBLANK(L82),
0,
IF(L$6 = 4, 1, 0))</f>
        <v>0</v>
      </c>
      <c r="M84" s="154">
        <f>IF(ISBLANK(M82),
0,
IF(M$6= 4, 1, 0))</f>
        <v>1</v>
      </c>
      <c r="N84" s="154">
        <f>IF(ISBLANK(N82),
0,
IF(N$6 = 4, 1, 0))</f>
        <v>0</v>
      </c>
      <c r="O84" s="154">
        <f>IF(ISBLANK(O82),
0,
IF(O$6= 4, 1, 0))</f>
        <v>1</v>
      </c>
      <c r="P84" s="154">
        <f>IF(ISBLANK(P82),
0,
IF(P$6 = 4, 1, 0))</f>
        <v>0</v>
      </c>
      <c r="Q84" s="154">
        <f>IF(ISBLANK(Q82),
0,
IF(Q$6= 4, 1, 0))</f>
        <v>0</v>
      </c>
      <c r="R84" s="154">
        <f>IF(ISBLANK(R82),
0,
IF(R$6 = 4, 1, 0))</f>
        <v>1</v>
      </c>
      <c r="S84" s="239"/>
      <c r="T84" s="154">
        <f>IF(ISBLANK(T82),
0,
IF(T$6= 4, 1, 0))</f>
        <v>0</v>
      </c>
      <c r="U84" s="154">
        <f>IF(ISBLANK(U82),
0,
IF(U$6 = 4, 1, 0))</f>
        <v>0</v>
      </c>
      <c r="V84" s="154">
        <f>IF(ISBLANK(V82),
0,
IF(V$6= 4, 1, 0))</f>
        <v>0</v>
      </c>
      <c r="W84" s="154">
        <f>IF(ISBLANK(W82),
0,
IF(W$6 = 4, 1, 0))</f>
        <v>0</v>
      </c>
      <c r="X84" s="154">
        <f>IF(ISBLANK(X82),
0,
IF(X$6= 4, 1, 0))</f>
        <v>0</v>
      </c>
      <c r="Y84" s="154">
        <f>IF(ISBLANK(Y82),
0,
IF(Y$6 = 4, 1, 0))</f>
        <v>0</v>
      </c>
      <c r="Z84" s="154">
        <f>IF(ISBLANK(Z82),
0,
IF(Z$6= 4, 1, 0))</f>
        <v>1</v>
      </c>
      <c r="AA84" s="154">
        <f>IF(ISBLANK(AA82),
0,
IF(AA$6 = 4, 1, 0))</f>
        <v>0</v>
      </c>
      <c r="AB84" s="239"/>
      <c r="AC84" s="154">
        <f>IF(ISBLANK(AC82),
0,
IF(AC$6= 4, 1, 0))</f>
        <v>0</v>
      </c>
      <c r="AD84" s="154">
        <f>IF(ISBLANK(AD82),
0,
IF(AD$6 = 4, 1, 0))</f>
        <v>0</v>
      </c>
      <c r="AE84" s="154">
        <f>IF(ISBLANK(AE82),
0,
IF(AE$6= 4, 1, 0))</f>
        <v>0</v>
      </c>
      <c r="AF84" s="154">
        <f>IF(ISBLANK(AF82),
0,
IF(AF$6 = 4, 1, 0))</f>
        <v>0</v>
      </c>
      <c r="AG84" s="239"/>
      <c r="AH84" s="154">
        <f>IF(ISBLANK(AH82),
0,
IF(AH$6= 4, 1, 0))</f>
        <v>0</v>
      </c>
      <c r="AI84" s="154">
        <f>IF(ISBLANK(AI82),
0,
IF(AI$6 = 4, 1, 0))</f>
        <v>0</v>
      </c>
      <c r="AJ84" s="239"/>
      <c r="AK84" s="240">
        <f>SUM(C84:AI84)</f>
        <v>8</v>
      </c>
      <c r="AL84" s="207"/>
    </row>
    <row r="85" spans="1:38" s="27" customFormat="1" ht="13.5" hidden="1" thickBot="1" x14ac:dyDescent="0.25">
      <c r="A85" s="108"/>
      <c r="B85" s="220" t="s">
        <v>79</v>
      </c>
      <c r="C85" s="154">
        <f>IF(C84 = 0,
0,
IF(C82 = (C$6+D$6),1,0))</f>
        <v>0</v>
      </c>
      <c r="D85" s="154">
        <f>IF(D84 = 0,
0,
IF(D82 = (C$6+D$6),1,0))</f>
        <v>0</v>
      </c>
      <c r="E85" s="154">
        <f>IF(E84 = 0,
0,
IF(E82 = (E$6+F$6),1,0))</f>
        <v>0</v>
      </c>
      <c r="F85" s="154">
        <f>IF(F84 = 0,
0,
IF(F82 = (E$6+F$6),1,0))</f>
        <v>0</v>
      </c>
      <c r="G85" s="154">
        <f>IF(G84 = 0,
0,
IF(G82 = (G$6+H$6),1,0))</f>
        <v>0</v>
      </c>
      <c r="H85" s="154">
        <f>IF(H84 = 0,
0,
IF(H82 = (G$6+H$6),1,0))</f>
        <v>0</v>
      </c>
      <c r="I85" s="154">
        <f>IF(I84 = 0,
0,
IF(I82 = (I$6+J$6),1,0))</f>
        <v>0</v>
      </c>
      <c r="J85" s="154">
        <f>IF(J84 = 0,
0,
IF(J82 = (I$6+J$6),1,0))</f>
        <v>0</v>
      </c>
      <c r="K85" s="154">
        <f>IF(K84 = 0,
0,
IF(K82 = (K$6+L$6),1,0))</f>
        <v>0</v>
      </c>
      <c r="L85" s="154">
        <f>IF(L84 = 0,
0,
IF(L82 = (K$6+L$6),1,0))</f>
        <v>0</v>
      </c>
      <c r="M85" s="154">
        <f>IF(M84 = 0,
0,
IF(M82 = (M$6+N$6),1,0))</f>
        <v>0</v>
      </c>
      <c r="N85" s="154">
        <f>IF(N84 = 0,
0,
IF(N82 = (M$6+N$6),1,0))</f>
        <v>0</v>
      </c>
      <c r="O85" s="154">
        <f>IF(O84 = 0,
0,
IF(O82 = (O$6+P$6),1,0))</f>
        <v>0</v>
      </c>
      <c r="P85" s="154">
        <f>IF(P84 = 0,
0,
IF(P82 = (O$6+P$6),1,0))</f>
        <v>0</v>
      </c>
      <c r="Q85" s="154">
        <f>IF(Q84 = 0,
0,
IF(Q82 = (Q$6+R$6),1,0))</f>
        <v>0</v>
      </c>
      <c r="R85" s="154">
        <f>IF(R84 = 0,
0,
IF(R82 = (Q$6+R$6),1,0))</f>
        <v>0</v>
      </c>
      <c r="S85" s="239"/>
      <c r="T85" s="154">
        <f>IF(T84 = 0,
0,
IF(T82 = (T$6+U$6),1,0))</f>
        <v>0</v>
      </c>
      <c r="U85" s="154">
        <f>IF(U84 = 0,
0,
IF(U82 = (T$6+U$6),1,0))</f>
        <v>0</v>
      </c>
      <c r="V85" s="154">
        <f>IF(V84 = 0,
0,
IF(V82 = (V$6+W$6),1,0))</f>
        <v>0</v>
      </c>
      <c r="W85" s="154">
        <f>IF(W84 = 0,
0,
IF(W82 = (V$6+W$6),1,0))</f>
        <v>0</v>
      </c>
      <c r="X85" s="154">
        <f>IF(X84 = 0,
0,
IF(X82 = (X$6+Y$6),1,0))</f>
        <v>0</v>
      </c>
      <c r="Y85" s="154">
        <f>IF(Y84 = 0,
0,
IF(Y82 = (X$6+Y$6),1,0))</f>
        <v>0</v>
      </c>
      <c r="Z85" s="154">
        <f>IF(Z84 = 0,
0,
IF(Z82 = (Z$6+AA$6),1,0))</f>
        <v>1</v>
      </c>
      <c r="AA85" s="154">
        <f>IF(AA84 = 0,
0,
IF(AA82 = (Z$6+AA$6),1,0))</f>
        <v>0</v>
      </c>
      <c r="AB85" s="239"/>
      <c r="AC85" s="154">
        <f>IF(AC84 = 0,
0,
IF(AC82 = (AC$6+AD$6),1,0))</f>
        <v>0</v>
      </c>
      <c r="AD85" s="154">
        <f>IF(AD84 = 0,
0,
IF(AD82 = (AC$6+AD$6),1,0))</f>
        <v>0</v>
      </c>
      <c r="AE85" s="154">
        <f>IF(AE84 = 0,
0,
IF(AE82 = (AE$6+AF$6),1,0))</f>
        <v>0</v>
      </c>
      <c r="AF85" s="154">
        <f>IF(AF84 = 0,
0,
IF(AF82 = (AE$6+AF$6),1,0))</f>
        <v>0</v>
      </c>
      <c r="AG85" s="239"/>
      <c r="AH85" s="154">
        <f>IF(AH84 = 0,
0,
IF(AH82 = (AH$6+AI$6),1,0))</f>
        <v>0</v>
      </c>
      <c r="AI85" s="154">
        <f>IF(AI84 = 0,
0,
IF(AI82 = (AH$6+AI$6),1,0))</f>
        <v>0</v>
      </c>
      <c r="AJ85" s="239"/>
      <c r="AK85" s="240">
        <f>SUM(C85:AI85)</f>
        <v>1</v>
      </c>
      <c r="AL85" s="207"/>
    </row>
    <row r="86" spans="1:38" ht="12.75" hidden="1" customHeight="1" thickBot="1" x14ac:dyDescent="0.25">
      <c r="A86" s="66"/>
      <c r="B86" s="56"/>
      <c r="C86" s="67">
        <f>COUNT(C10,C14,C18,C22,C26,C30,C34, C38, C42,C46,C50,C54,C58,C62,C66,C70,C74,C78,C82)</f>
        <v>17</v>
      </c>
      <c r="D86" s="68">
        <f>COUNT(D10,D14,D18,D22,D26,D30,D34, D38, D42,D46,D50,D54,D58,D62,D66,D70,D78,D82)</f>
        <v>2</v>
      </c>
      <c r="E86" s="69">
        <f t="shared" ref="E86:R86" si="0">COUNT(E10,E14,E18,E22,E26,E30,E34, E38, E42,E46,E50,E54,E58,E62,E66,E70,E74,E78,E82)</f>
        <v>10</v>
      </c>
      <c r="F86" s="68">
        <f t="shared" si="0"/>
        <v>9</v>
      </c>
      <c r="G86" s="69">
        <f t="shared" si="0"/>
        <v>14</v>
      </c>
      <c r="H86" s="70">
        <f t="shared" si="0"/>
        <v>5</v>
      </c>
      <c r="I86" s="71">
        <f t="shared" si="0"/>
        <v>19</v>
      </c>
      <c r="J86" s="89">
        <f t="shared" si="0"/>
        <v>0</v>
      </c>
      <c r="K86" s="67">
        <f t="shared" si="0"/>
        <v>19</v>
      </c>
      <c r="L86" s="68">
        <f t="shared" si="0"/>
        <v>0</v>
      </c>
      <c r="M86" s="69">
        <f t="shared" si="0"/>
        <v>18</v>
      </c>
      <c r="N86" s="68">
        <f t="shared" si="0"/>
        <v>1</v>
      </c>
      <c r="O86" s="69">
        <f t="shared" si="0"/>
        <v>10</v>
      </c>
      <c r="P86" s="70">
        <f t="shared" si="0"/>
        <v>9</v>
      </c>
      <c r="Q86" s="71">
        <f t="shared" si="0"/>
        <v>11</v>
      </c>
      <c r="R86" s="89">
        <f t="shared" si="0"/>
        <v>8</v>
      </c>
      <c r="S86" s="74"/>
      <c r="T86" s="67">
        <f t="shared" ref="T86:AA86" si="1">COUNT(T10,T14,T18,T22,T26,T30,T34, T38, T42,T46,T50,T54,T58,T62,T66,T70,T74,T78,T82)</f>
        <v>14</v>
      </c>
      <c r="U86" s="68">
        <f t="shared" si="1"/>
        <v>5</v>
      </c>
      <c r="V86" s="69">
        <f t="shared" si="1"/>
        <v>4</v>
      </c>
      <c r="W86" s="68">
        <f t="shared" si="1"/>
        <v>15</v>
      </c>
      <c r="X86" s="72">
        <f t="shared" si="1"/>
        <v>11</v>
      </c>
      <c r="Y86" s="70">
        <f t="shared" si="1"/>
        <v>8</v>
      </c>
      <c r="Z86" s="69">
        <f t="shared" si="1"/>
        <v>16</v>
      </c>
      <c r="AA86" s="73">
        <f t="shared" si="1"/>
        <v>3</v>
      </c>
      <c r="AB86" s="110"/>
      <c r="AC86" s="67">
        <f>COUNT(AC10,AC14,AC18,AC22,AC26,AC30,AC34, AC38, AC42,AC46,AC50,AC54,AC58,AC62,AC66,AC70,AC74,AC78,AC82)</f>
        <v>9</v>
      </c>
      <c r="AD86" s="68">
        <f>COUNT(AD10,AD14,AD18,AD22,AD26,AD30,AD34, AD38, AD42,AD46,AD50,AD54,AD58,AD62,AD66,AD70,AD74,AD78,AD82)</f>
        <v>10</v>
      </c>
      <c r="AE86" s="72">
        <f>COUNT(AE10,AE14,AE18,AE22,AE26,AE30,AE34, AE38, AE42,AE46,AE50,AE54,AE58,AE62,AE66,AE70,AE74,AE78,AE82)</f>
        <v>12</v>
      </c>
      <c r="AF86" s="73">
        <f>COUNT(AF10,AF14,AF18,AF22,AF26,AF30,AF34, AF38, AF42,AF46,AF50,AF54,AF58,AF62,AF66,AF70,AF74,AF78,AF82)</f>
        <v>7</v>
      </c>
      <c r="AG86" s="112"/>
      <c r="AH86" s="75">
        <f>COUNT(AH10,AH14,AH18,AH22,AH26,AH30,AH34, AH38, AH42,AH46,AH50,AH54,AH58,AH62,AH66,AH70,AH74,AH78,AH82)</f>
        <v>9</v>
      </c>
      <c r="AI86" s="76">
        <f>COUNT(AI10,AI14,AI18,AI22,AI26,AI30,AI34, AI38, AI42,AI46,AI50,AI54,AI58,AI62,AI66,AI70,AI74,AI78,AI82)</f>
        <v>10</v>
      </c>
      <c r="AJ86" s="77"/>
      <c r="AK86" s="56"/>
    </row>
    <row r="87" spans="1:38" ht="6.95" customHeight="1" thickBot="1" x14ac:dyDescent="0.25"/>
    <row r="88" spans="1:38" ht="13.5" thickBot="1" x14ac:dyDescent="0.25">
      <c r="B88" s="43"/>
      <c r="N88" s="26"/>
      <c r="O88" s="301" t="s">
        <v>17</v>
      </c>
      <c r="P88" s="302"/>
      <c r="Q88" s="302"/>
      <c r="R88" s="303"/>
      <c r="AG88" s="30"/>
      <c r="AH88" s="30"/>
      <c r="AI88" s="30"/>
      <c r="AJ88" s="30"/>
      <c r="AK88" s="30"/>
    </row>
    <row r="89" spans="1:38" x14ac:dyDescent="0.2">
      <c r="A89" s="33"/>
      <c r="B89" s="281" t="s">
        <v>16</v>
      </c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3"/>
      <c r="O89" s="21">
        <v>1</v>
      </c>
      <c r="P89" s="21">
        <v>2</v>
      </c>
      <c r="Q89" s="21">
        <v>3</v>
      </c>
      <c r="R89" s="22">
        <v>4</v>
      </c>
      <c r="U89" s="304" t="s">
        <v>26</v>
      </c>
      <c r="V89" s="305"/>
      <c r="W89" s="305"/>
      <c r="X89" s="305"/>
      <c r="Y89" s="305"/>
      <c r="Z89" s="305"/>
      <c r="AA89" s="305"/>
      <c r="AB89" s="305"/>
      <c r="AC89" s="305"/>
      <c r="AD89" s="306"/>
      <c r="AE89" s="28"/>
      <c r="AF89" s="28"/>
      <c r="AG89" s="304" t="s">
        <v>24</v>
      </c>
      <c r="AH89" s="305"/>
      <c r="AI89" s="305"/>
      <c r="AJ89" s="305"/>
      <c r="AK89" s="306"/>
    </row>
    <row r="90" spans="1:38" x14ac:dyDescent="0.2">
      <c r="A90" s="34"/>
      <c r="B90" s="288" t="s">
        <v>6</v>
      </c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90"/>
      <c r="O90" s="20">
        <v>5</v>
      </c>
      <c r="P90" s="20">
        <v>10</v>
      </c>
      <c r="Q90" s="20">
        <v>15</v>
      </c>
      <c r="R90" s="23">
        <v>20</v>
      </c>
      <c r="U90" s="286" t="s">
        <v>20</v>
      </c>
      <c r="V90" s="287"/>
      <c r="W90" s="287"/>
      <c r="X90" s="287"/>
      <c r="Y90" s="287"/>
      <c r="Z90" s="287"/>
      <c r="AA90" s="287"/>
      <c r="AB90" s="284">
        <v>19</v>
      </c>
      <c r="AC90" s="284"/>
      <c r="AD90" s="285"/>
      <c r="AE90" s="29"/>
      <c r="AF90" s="29"/>
      <c r="AG90" s="300" t="s">
        <v>21</v>
      </c>
      <c r="AH90" s="289"/>
      <c r="AI90" s="289"/>
      <c r="AJ90" s="290"/>
      <c r="AK90" s="36">
        <v>200</v>
      </c>
    </row>
    <row r="91" spans="1:38" ht="13.5" thickBot="1" x14ac:dyDescent="0.25">
      <c r="A91" s="34"/>
      <c r="B91" s="288" t="s">
        <v>5</v>
      </c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90"/>
      <c r="O91" s="20">
        <v>2</v>
      </c>
      <c r="P91" s="20">
        <v>4</v>
      </c>
      <c r="Q91" s="20">
        <v>6</v>
      </c>
      <c r="R91" s="23">
        <v>8</v>
      </c>
      <c r="U91" s="295" t="s">
        <v>18</v>
      </c>
      <c r="V91" s="296"/>
      <c r="W91" s="296"/>
      <c r="X91" s="296"/>
      <c r="Y91" s="296"/>
      <c r="Z91" s="296"/>
      <c r="AA91" s="296"/>
      <c r="AB91" s="297">
        <v>20</v>
      </c>
      <c r="AC91" s="297"/>
      <c r="AD91" s="298"/>
      <c r="AE91" s="29"/>
      <c r="AF91" s="29"/>
      <c r="AG91" s="300" t="s">
        <v>22</v>
      </c>
      <c r="AH91" s="289"/>
      <c r="AI91" s="289"/>
      <c r="AJ91" s="290"/>
      <c r="AK91" s="36">
        <v>100</v>
      </c>
    </row>
    <row r="92" spans="1:38" ht="14.25" thickTop="1" thickBot="1" x14ac:dyDescent="0.25">
      <c r="A92" s="35"/>
      <c r="B92" s="274" t="s">
        <v>4</v>
      </c>
      <c r="C92" s="275"/>
      <c r="D92" s="275"/>
      <c r="E92" s="275"/>
      <c r="F92" s="275"/>
      <c r="G92" s="275"/>
      <c r="H92" s="275"/>
      <c r="I92" s="275"/>
      <c r="J92" s="275"/>
      <c r="K92" s="275"/>
      <c r="L92" s="275"/>
      <c r="M92" s="275"/>
      <c r="N92" s="276"/>
      <c r="O92" s="3">
        <v>1</v>
      </c>
      <c r="P92" s="3">
        <v>1</v>
      </c>
      <c r="Q92" s="3">
        <v>1</v>
      </c>
      <c r="R92" s="24">
        <v>1</v>
      </c>
      <c r="U92" s="291" t="s">
        <v>19</v>
      </c>
      <c r="V92" s="292"/>
      <c r="W92" s="292"/>
      <c r="X92" s="292"/>
      <c r="Y92" s="292"/>
      <c r="Z92" s="292"/>
      <c r="AA92" s="292"/>
      <c r="AB92" s="293">
        <f>AB90*AB91</f>
        <v>380</v>
      </c>
      <c r="AC92" s="293"/>
      <c r="AD92" s="294"/>
      <c r="AE92" s="29"/>
      <c r="AF92" s="29"/>
      <c r="AG92" s="300" t="s">
        <v>25</v>
      </c>
      <c r="AH92" s="289"/>
      <c r="AI92" s="289"/>
      <c r="AJ92" s="290"/>
      <c r="AK92" s="36">
        <v>50</v>
      </c>
    </row>
    <row r="93" spans="1:38" ht="13.5" thickBot="1" x14ac:dyDescent="0.25">
      <c r="AG93" s="299" t="s">
        <v>23</v>
      </c>
      <c r="AH93" s="275"/>
      <c r="AI93" s="275"/>
      <c r="AJ93" s="276"/>
      <c r="AK93" s="109">
        <v>30</v>
      </c>
    </row>
  </sheetData>
  <sortState ref="A10:AL82">
    <sortCondition descending="1" ref="AL10:AL82"/>
    <sortCondition ref="B10:B82"/>
  </sortState>
  <mergeCells count="37">
    <mergeCell ref="AG93:AJ93"/>
    <mergeCell ref="AG90:AJ90"/>
    <mergeCell ref="AG92:AJ92"/>
    <mergeCell ref="AG91:AJ91"/>
    <mergeCell ref="O88:R88"/>
    <mergeCell ref="U89:AD89"/>
    <mergeCell ref="AG89:AK89"/>
    <mergeCell ref="B92:N92"/>
    <mergeCell ref="C1:O1"/>
    <mergeCell ref="P1:AJ1"/>
    <mergeCell ref="C3:O3"/>
    <mergeCell ref="P3:AJ3"/>
    <mergeCell ref="C2:P2"/>
    <mergeCell ref="Q2:AJ2"/>
    <mergeCell ref="B89:N89"/>
    <mergeCell ref="AB90:AD90"/>
    <mergeCell ref="U90:AA90"/>
    <mergeCell ref="B90:N90"/>
    <mergeCell ref="U92:AA92"/>
    <mergeCell ref="AB92:AD92"/>
    <mergeCell ref="U91:AA91"/>
    <mergeCell ref="AB91:AD91"/>
    <mergeCell ref="B91:N91"/>
    <mergeCell ref="C4:S4"/>
    <mergeCell ref="T4:AB4"/>
    <mergeCell ref="AC4:AG4"/>
    <mergeCell ref="AH4:AJ4"/>
    <mergeCell ref="AG5:AG9"/>
    <mergeCell ref="AJ5:AJ9"/>
    <mergeCell ref="X5:AA5"/>
    <mergeCell ref="AB5:AB9"/>
    <mergeCell ref="AC5:AD5"/>
    <mergeCell ref="AE5:AF5"/>
    <mergeCell ref="C5:J5"/>
    <mergeCell ref="K5:R5"/>
    <mergeCell ref="S5:S9"/>
    <mergeCell ref="T5:W5"/>
  </mergeCells>
  <phoneticPr fontId="16" type="noConversion"/>
  <conditionalFormatting sqref="AH18:AI18 AH10:AI10 AH14:AI14 T10:AA10 AC10:AF10 C10:R10 C14:R14 T14:AA14 AC14:AF14 T18:AA18 AC18:AF18 AH30:AI30 C30:R30 T30:AA30 AC30:AF30 AH26:AI26 C26:R26 T26:AA26 AC26:AF26 AH62:AI62 C62:R62 T62:AA62 AC62:AF62 AH42:AI42 C42:R42 T42:AA42 AC42:AF42 AH22:AI22 C22:R22 T22:AA22 AC22:AF22 AH38:AI38 C38:R38 T38:AA38 AC38:AF38 AH34:AI34 C34:R34 T34:AA34 AC34:AF34 AH66:AI66 C66:R66 T66:AA66 AC66:AF66 C18:R18">
    <cfRule type="cellIs" dxfId="94" priority="99" stopIfTrue="1" operator="notEqual">
      <formula>0</formula>
    </cfRule>
  </conditionalFormatting>
  <conditionalFormatting sqref="C10:R10">
    <cfRule type="cellIs" dxfId="93" priority="95" stopIfTrue="1" operator="notEqual">
      <formula>0</formula>
    </cfRule>
  </conditionalFormatting>
  <conditionalFormatting sqref="C14:R14">
    <cfRule type="cellIs" dxfId="92" priority="94" stopIfTrue="1" operator="notEqual">
      <formula>0</formula>
    </cfRule>
  </conditionalFormatting>
  <conditionalFormatting sqref="C18:R18">
    <cfRule type="cellIs" dxfId="91" priority="93" stopIfTrue="1" operator="notEqual">
      <formula>0</formula>
    </cfRule>
  </conditionalFormatting>
  <conditionalFormatting sqref="C22:R22">
    <cfRule type="cellIs" dxfId="90" priority="92" stopIfTrue="1" operator="notEqual">
      <formula>0</formula>
    </cfRule>
  </conditionalFormatting>
  <conditionalFormatting sqref="C26:R26">
    <cfRule type="cellIs" dxfId="89" priority="91" stopIfTrue="1" operator="notEqual">
      <formula>0</formula>
    </cfRule>
  </conditionalFormatting>
  <conditionalFormatting sqref="C30:R30">
    <cfRule type="cellIs" dxfId="88" priority="90" stopIfTrue="1" operator="notEqual">
      <formula>0</formula>
    </cfRule>
  </conditionalFormatting>
  <conditionalFormatting sqref="C34:R34">
    <cfRule type="cellIs" dxfId="87" priority="89" stopIfTrue="1" operator="notEqual">
      <formula>0</formula>
    </cfRule>
  </conditionalFormatting>
  <conditionalFormatting sqref="C38:R38">
    <cfRule type="cellIs" dxfId="86" priority="88" stopIfTrue="1" operator="notEqual">
      <formula>0</formula>
    </cfRule>
  </conditionalFormatting>
  <conditionalFormatting sqref="C42:R42">
    <cfRule type="cellIs" dxfId="85" priority="87" stopIfTrue="1" operator="notEqual">
      <formula>0</formula>
    </cfRule>
  </conditionalFormatting>
  <conditionalFormatting sqref="AH54:AI54 C54:R54 T54:AA54 AC54:AF54">
    <cfRule type="cellIs" dxfId="84" priority="86" stopIfTrue="1" operator="notEqual">
      <formula>0</formula>
    </cfRule>
  </conditionalFormatting>
  <conditionalFormatting sqref="AH46:AI46 C46:R46 T46:AA46 AC46:AF46">
    <cfRule type="cellIs" dxfId="83" priority="85" stopIfTrue="1" operator="notEqual">
      <formula>0</formula>
    </cfRule>
  </conditionalFormatting>
  <conditionalFormatting sqref="C46:R46">
    <cfRule type="cellIs" dxfId="82" priority="84" stopIfTrue="1" operator="notEqual">
      <formula>0</formula>
    </cfRule>
  </conditionalFormatting>
  <conditionalFormatting sqref="AH50:AI50 C50:R50 T50:AA50 AC50:AF50">
    <cfRule type="cellIs" dxfId="81" priority="83" stopIfTrue="1" operator="notEqual">
      <formula>0</formula>
    </cfRule>
  </conditionalFormatting>
  <conditionalFormatting sqref="C50:R50">
    <cfRule type="cellIs" dxfId="80" priority="82" stopIfTrue="1" operator="notEqual">
      <formula>0</formula>
    </cfRule>
  </conditionalFormatting>
  <conditionalFormatting sqref="AH58:AI58 C58:R58 T58:AA58 AC58:AF58">
    <cfRule type="cellIs" dxfId="79" priority="81" stopIfTrue="1" operator="notEqual">
      <formula>0</formula>
    </cfRule>
  </conditionalFormatting>
  <conditionalFormatting sqref="R18">
    <cfRule type="cellIs" dxfId="78" priority="80" stopIfTrue="1" operator="notEqual">
      <formula>0</formula>
    </cfRule>
  </conditionalFormatting>
  <conditionalFormatting sqref="AH70:AI70 C70:R70 T70:AA70 AC70:AF70">
    <cfRule type="cellIs" dxfId="77" priority="79" stopIfTrue="1" operator="notEqual">
      <formula>0</formula>
    </cfRule>
  </conditionalFormatting>
  <conditionalFormatting sqref="AH74:AI74 C74:R74 T74:AA74 AC74:AF74">
    <cfRule type="cellIs" dxfId="76" priority="78" stopIfTrue="1" operator="notEqual">
      <formula>0</formula>
    </cfRule>
  </conditionalFormatting>
  <conditionalFormatting sqref="AH78:AI78 C78:R78 T78:AA78 AC78:AF78">
    <cfRule type="cellIs" dxfId="75" priority="77" stopIfTrue="1" operator="notEqual">
      <formula>0</formula>
    </cfRule>
  </conditionalFormatting>
  <conditionalFormatting sqref="AH82:AI82 C82:R82 T82:AA82 AC82:AF82">
    <cfRule type="cellIs" dxfId="74" priority="76" stopIfTrue="1" operator="notEqual">
      <formula>0</formula>
    </cfRule>
  </conditionalFormatting>
  <conditionalFormatting sqref="S10:S15 AB10:AB15 AG10:AG15 AJ10:AJ15 AJ26:AJ27 AG26:AG27 AB26:AB27 S26:S27 AJ22:AJ23 AG22:AG23 AB22:AB23 S22:S23 AJ18:AJ19 AG18:AG19 AB18:AB19 S18:S19 S38:S39 AB38:AB39 AG38:AG39 AJ38:AJ39 S30:S31 AB30:AB31 AG30:AG31 AJ30:AJ31 AJ42:AJ43 AG42:AG43 AB42:AB43 S42:S43 S46:S47 AB46:AB47 AG46:AG47 AJ46:AJ47 AJ50:AJ51 AG50:AG51 AB50:AB51 S50:S51 S58:S59 AB58:AB59 AG58:AG59 AJ58:AJ59 S54:S55 AB54:AB55 AG54:AG55 AJ54:AJ55 AJ62:AJ63 AG62:AG63 AB62:AB63 S62:S63 S66:S67 AB66:AB67 AG66:AG67 AJ66:AJ67 AJ70:AJ71 AG70:AG71 AB70:AB71 S70:S71 S74:S75 AB74:AB75 AG74:AG75 AJ74:AJ75 AJ78:AJ79 AG78:AG79 AB78:AB79 S78:S79 S82 AB82 AG82 AJ82 AJ34:AJ35 AG34:AG35 AB34:AB35 S34:S35">
    <cfRule type="cellIs" dxfId="73" priority="72" operator="notEqual">
      <formula>""""""</formula>
    </cfRule>
  </conditionalFormatting>
  <conditionalFormatting sqref="AL10:AL23 AL26:AL27 AL38:AL39 AL30:AL31 AL42:AL43 AL46:AL47 AL50:AL51 AL58:AL59 AL54:AL55 AL62:AL63 AL66:AL67 AL70:AL71 AL74:AL75 AL78:AL79 AL82 AL34:AL35">
    <cfRule type="cellIs" dxfId="72" priority="71" operator="notEqual">
      <formula>""""""</formula>
    </cfRule>
  </conditionalFormatting>
  <conditionalFormatting sqref="AJ24:AJ25">
    <cfRule type="cellIs" dxfId="71" priority="68" operator="notEqual">
      <formula>""""""</formula>
    </cfRule>
  </conditionalFormatting>
  <conditionalFormatting sqref="AL24:AL25">
    <cfRule type="cellIs" dxfId="70" priority="69" operator="notEqual">
      <formula>""""""</formula>
    </cfRule>
  </conditionalFormatting>
  <conditionalFormatting sqref="AJ20:AJ21">
    <cfRule type="cellIs" dxfId="69" priority="67" operator="notEqual">
      <formula>""""""</formula>
    </cfRule>
  </conditionalFormatting>
  <conditionalFormatting sqref="AJ16:AJ17">
    <cfRule type="cellIs" dxfId="68" priority="66" operator="notEqual">
      <formula>""""""</formula>
    </cfRule>
  </conditionalFormatting>
  <conditionalFormatting sqref="AJ28:AJ29">
    <cfRule type="cellIs" dxfId="67" priority="62" operator="notEqual">
      <formula>""""""</formula>
    </cfRule>
  </conditionalFormatting>
  <conditionalFormatting sqref="AL28:AL29">
    <cfRule type="cellIs" dxfId="66" priority="63" operator="notEqual">
      <formula>""""""</formula>
    </cfRule>
  </conditionalFormatting>
  <conditionalFormatting sqref="AL36:AL37">
    <cfRule type="cellIs" dxfId="65" priority="61" operator="notEqual">
      <formula>""""""</formula>
    </cfRule>
  </conditionalFormatting>
  <conditionalFormatting sqref="AL40:AL41">
    <cfRule type="cellIs" dxfId="64" priority="59" operator="notEqual">
      <formula>""""""</formula>
    </cfRule>
  </conditionalFormatting>
  <conditionalFormatting sqref="AL44:AL45">
    <cfRule type="cellIs" dxfId="63" priority="57" operator="notEqual">
      <formula>""""""</formula>
    </cfRule>
  </conditionalFormatting>
  <conditionalFormatting sqref="AL48:AL49">
    <cfRule type="cellIs" dxfId="62" priority="55" operator="notEqual">
      <formula>""""""</formula>
    </cfRule>
  </conditionalFormatting>
  <conditionalFormatting sqref="AL56:AL57">
    <cfRule type="cellIs" dxfId="61" priority="53" operator="notEqual">
      <formula>""""""</formula>
    </cfRule>
  </conditionalFormatting>
  <conditionalFormatting sqref="S20:S21 AB20:AB21 AG20:AG21">
    <cfRule type="cellIs" dxfId="60" priority="32" operator="notEqual">
      <formula>""""""</formula>
    </cfRule>
  </conditionalFormatting>
  <conditionalFormatting sqref="AL52:AL53">
    <cfRule type="cellIs" dxfId="59" priority="51" operator="notEqual">
      <formula>""""""</formula>
    </cfRule>
  </conditionalFormatting>
  <conditionalFormatting sqref="AL60:AL61">
    <cfRule type="cellIs" dxfId="58" priority="49" operator="notEqual">
      <formula>""""""</formula>
    </cfRule>
  </conditionalFormatting>
  <conditionalFormatting sqref="AL64:AL65">
    <cfRule type="cellIs" dxfId="57" priority="47" operator="notEqual">
      <formula>""""""</formula>
    </cfRule>
  </conditionalFormatting>
  <conditionalFormatting sqref="AL68:AL69">
    <cfRule type="cellIs" dxfId="56" priority="45" operator="notEqual">
      <formula>""""""</formula>
    </cfRule>
  </conditionalFormatting>
  <conditionalFormatting sqref="AL72:AL73">
    <cfRule type="cellIs" dxfId="55" priority="43" operator="notEqual">
      <formula>""""""</formula>
    </cfRule>
  </conditionalFormatting>
  <conditionalFormatting sqref="AL76:AL77">
    <cfRule type="cellIs" dxfId="54" priority="41" operator="notEqual">
      <formula>""""""</formula>
    </cfRule>
  </conditionalFormatting>
  <conditionalFormatting sqref="AL80:AL81">
    <cfRule type="cellIs" dxfId="53" priority="39" operator="notEqual">
      <formula>""""""</formula>
    </cfRule>
  </conditionalFormatting>
  <conditionalFormatting sqref="AL84:AL85">
    <cfRule type="cellIs" dxfId="52" priority="37" operator="notEqual">
      <formula>""""""</formula>
    </cfRule>
  </conditionalFormatting>
  <conditionalFormatting sqref="S24:S25 AB24:AB25 AG24:AG25">
    <cfRule type="cellIs" dxfId="51" priority="31" operator="notEqual">
      <formula>""""""</formula>
    </cfRule>
  </conditionalFormatting>
  <conditionalFormatting sqref="AJ84:AJ85">
    <cfRule type="cellIs" dxfId="50" priority="2" operator="notEqual">
      <formula>""""""</formula>
    </cfRule>
  </conditionalFormatting>
  <conditionalFormatting sqref="S16:S17 AB16:AB17 AG16:AG17">
    <cfRule type="cellIs" dxfId="49" priority="33" operator="notEqual">
      <formula>""""""</formula>
    </cfRule>
  </conditionalFormatting>
  <conditionalFormatting sqref="S28:S29 AB28:AB29 AG28:AG29">
    <cfRule type="cellIs" dxfId="48" priority="30" operator="notEqual">
      <formula>""""""</formula>
    </cfRule>
  </conditionalFormatting>
  <conditionalFormatting sqref="AJ32:AJ33">
    <cfRule type="cellIs" dxfId="47" priority="28" operator="notEqual">
      <formula>""""""</formula>
    </cfRule>
  </conditionalFormatting>
  <conditionalFormatting sqref="AL32:AL33">
    <cfRule type="cellIs" dxfId="46" priority="29" operator="notEqual">
      <formula>""""""</formula>
    </cfRule>
  </conditionalFormatting>
  <conditionalFormatting sqref="S32:S33 AB32:AB33 AG32:AG33">
    <cfRule type="cellIs" dxfId="45" priority="27" operator="notEqual">
      <formula>""""""</formula>
    </cfRule>
  </conditionalFormatting>
  <conditionalFormatting sqref="AJ36:AJ37">
    <cfRule type="cellIs" dxfId="44" priority="26" operator="notEqual">
      <formula>""""""</formula>
    </cfRule>
  </conditionalFormatting>
  <conditionalFormatting sqref="S36:S37 AB36:AB37 AG36:AG37">
    <cfRule type="cellIs" dxfId="43" priority="25" operator="notEqual">
      <formula>""""""</formula>
    </cfRule>
  </conditionalFormatting>
  <conditionalFormatting sqref="AJ40:AJ41">
    <cfRule type="cellIs" dxfId="42" priority="24" operator="notEqual">
      <formula>""""""</formula>
    </cfRule>
  </conditionalFormatting>
  <conditionalFormatting sqref="S40:S41 AB40:AB41 AG40:AG41">
    <cfRule type="cellIs" dxfId="41" priority="23" operator="notEqual">
      <formula>""""""</formula>
    </cfRule>
  </conditionalFormatting>
  <conditionalFormatting sqref="AJ44:AJ45">
    <cfRule type="cellIs" dxfId="40" priority="22" operator="notEqual">
      <formula>""""""</formula>
    </cfRule>
  </conditionalFormatting>
  <conditionalFormatting sqref="S44:S45 AB44:AB45 AG44:AG45">
    <cfRule type="cellIs" dxfId="39" priority="21" operator="notEqual">
      <formula>""""""</formula>
    </cfRule>
  </conditionalFormatting>
  <conditionalFormatting sqref="AJ48:AJ49">
    <cfRule type="cellIs" dxfId="38" priority="20" operator="notEqual">
      <formula>""""""</formula>
    </cfRule>
  </conditionalFormatting>
  <conditionalFormatting sqref="S48:S49 AB48:AB49 AG48:AG49">
    <cfRule type="cellIs" dxfId="37" priority="19" operator="notEqual">
      <formula>""""""</formula>
    </cfRule>
  </conditionalFormatting>
  <conditionalFormatting sqref="AJ52:AJ53">
    <cfRule type="cellIs" dxfId="36" priority="18" operator="notEqual">
      <formula>""""""</formula>
    </cfRule>
  </conditionalFormatting>
  <conditionalFormatting sqref="S52:S53 AB52:AB53 AG52:AG53">
    <cfRule type="cellIs" dxfId="35" priority="17" operator="notEqual">
      <formula>""""""</formula>
    </cfRule>
  </conditionalFormatting>
  <conditionalFormatting sqref="AJ56:AJ57">
    <cfRule type="cellIs" dxfId="34" priority="16" operator="notEqual">
      <formula>""""""</formula>
    </cfRule>
  </conditionalFormatting>
  <conditionalFormatting sqref="S56:S57 AB56:AB57 AG56:AG57">
    <cfRule type="cellIs" dxfId="33" priority="15" operator="notEqual">
      <formula>""""""</formula>
    </cfRule>
  </conditionalFormatting>
  <conditionalFormatting sqref="AJ60:AJ61">
    <cfRule type="cellIs" dxfId="32" priority="14" operator="notEqual">
      <formula>""""""</formula>
    </cfRule>
  </conditionalFormatting>
  <conditionalFormatting sqref="S60:S61 AB60:AB61 AG60:AG61">
    <cfRule type="cellIs" dxfId="31" priority="13" operator="notEqual">
      <formula>""""""</formula>
    </cfRule>
  </conditionalFormatting>
  <conditionalFormatting sqref="AJ64:AJ65">
    <cfRule type="cellIs" dxfId="30" priority="12" operator="notEqual">
      <formula>""""""</formula>
    </cfRule>
  </conditionalFormatting>
  <conditionalFormatting sqref="S64:S65 AB64:AB65 AG64:AG65">
    <cfRule type="cellIs" dxfId="29" priority="11" operator="notEqual">
      <formula>""""""</formula>
    </cfRule>
  </conditionalFormatting>
  <conditionalFormatting sqref="AJ68:AJ69">
    <cfRule type="cellIs" dxfId="28" priority="10" operator="notEqual">
      <formula>""""""</formula>
    </cfRule>
  </conditionalFormatting>
  <conditionalFormatting sqref="S68:S69 AB68:AB69 AG68:AG69">
    <cfRule type="cellIs" dxfId="27" priority="9" operator="notEqual">
      <formula>""""""</formula>
    </cfRule>
  </conditionalFormatting>
  <conditionalFormatting sqref="AJ72:AJ73">
    <cfRule type="cellIs" dxfId="26" priority="8" operator="notEqual">
      <formula>""""""</formula>
    </cfRule>
  </conditionalFormatting>
  <conditionalFormatting sqref="S72:S73 AB72:AB73 AG72:AG73">
    <cfRule type="cellIs" dxfId="25" priority="7" operator="notEqual">
      <formula>""""""</formula>
    </cfRule>
  </conditionalFormatting>
  <conditionalFormatting sqref="AJ76:AJ77">
    <cfRule type="cellIs" dxfId="24" priority="6" operator="notEqual">
      <formula>""""""</formula>
    </cfRule>
  </conditionalFormatting>
  <conditionalFormatting sqref="S76:S77 AB76:AB77 AG76:AG77">
    <cfRule type="cellIs" dxfId="23" priority="5" operator="notEqual">
      <formula>""""""</formula>
    </cfRule>
  </conditionalFormatting>
  <conditionalFormatting sqref="AJ80:AJ81">
    <cfRule type="cellIs" dxfId="22" priority="4" operator="notEqual">
      <formula>""""""</formula>
    </cfRule>
  </conditionalFormatting>
  <conditionalFormatting sqref="S80:S81 AB80:AB81 AG80:AG81">
    <cfRule type="cellIs" dxfId="21" priority="3" operator="notEqual">
      <formula>""""""</formula>
    </cfRule>
  </conditionalFormatting>
  <conditionalFormatting sqref="S84:S85 AB84:AB85 AG84:AG85">
    <cfRule type="cellIs" dxfId="20" priority="1" operator="notEqual">
      <formula>""""""</formula>
    </cfRule>
  </conditionalFormatting>
  <hyperlinks>
    <hyperlink ref="Q2" r:id="rId1"/>
  </hyperlinks>
  <pageMargins left="0.78740157480314965" right="0.78740157480314965" top="0.78740157480314965" bottom="0.78740157480314965" header="0.39370078740157483" footer="0.39370078740157483"/>
  <pageSetup paperSize="5" scale="97" orientation="landscape" r:id="rId2"/>
  <headerFooter alignWithMargins="0">
    <oddHeader>&amp;L&amp;"Arial,Gras"&amp;20Pool des séries - Ville de Laval&amp;R
&amp;"Arial,Italique"Dernière mise à jour: &amp;"Arial,Gras italique"&amp;D - &amp;T</oddHeader>
  </headerFooter>
  <ignoredErrors>
    <ignoredError sqref="D8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AJ31"/>
  <sheetViews>
    <sheetView workbookViewId="0"/>
  </sheetViews>
  <sheetFormatPr baseColWidth="10" defaultColWidth="11.42578125" defaultRowHeight="12.75" x14ac:dyDescent="0.2"/>
  <cols>
    <col min="1" max="1" width="4.42578125" style="2" bestFit="1" customWidth="1"/>
    <col min="2" max="2" width="23.42578125" style="1" bestFit="1" customWidth="1"/>
    <col min="3" max="5" width="2.7109375" style="19" customWidth="1"/>
    <col min="6" max="6" width="3" style="19" bestFit="1" customWidth="1"/>
    <col min="7" max="9" width="2.7109375" style="19" customWidth="1"/>
    <col min="10" max="10" width="2.7109375" style="2" customWidth="1"/>
    <col min="11" max="12" width="2.7109375" customWidth="1"/>
    <col min="13" max="13" width="3.85546875" bestFit="1" customWidth="1"/>
    <col min="14" max="14" width="21.42578125" style="1" bestFit="1" customWidth="1"/>
    <col min="15" max="21" width="2.7109375" style="18" customWidth="1"/>
    <col min="22" max="24" width="2.7109375" customWidth="1"/>
    <col min="25" max="25" width="3.85546875" bestFit="1" customWidth="1"/>
    <col min="26" max="26" width="21.7109375" style="1" bestFit="1" customWidth="1"/>
    <col min="27" max="33" width="2.7109375" style="17" customWidth="1"/>
    <col min="34" max="36" width="2.7109375" customWidth="1"/>
  </cols>
  <sheetData>
    <row r="1" spans="1:36" x14ac:dyDescent="0.2">
      <c r="A1" s="54"/>
      <c r="C1" s="55"/>
      <c r="D1" s="55"/>
      <c r="E1" s="55"/>
      <c r="F1" s="55"/>
      <c r="G1" s="55"/>
      <c r="H1" s="55"/>
      <c r="I1" s="55"/>
    </row>
    <row r="2" spans="1:36" x14ac:dyDescent="0.2">
      <c r="A2" s="54"/>
      <c r="B2" s="95"/>
      <c r="C2" s="96"/>
      <c r="D2" s="96"/>
      <c r="E2" s="96"/>
      <c r="F2" s="96"/>
      <c r="G2" s="96"/>
      <c r="H2" s="96"/>
      <c r="I2" s="96"/>
      <c r="Y2" s="95"/>
      <c r="Z2" s="95"/>
      <c r="AA2" s="101"/>
      <c r="AB2" s="101"/>
      <c r="AC2" s="101"/>
      <c r="AD2" s="101"/>
      <c r="AE2" s="101"/>
      <c r="AF2" s="101"/>
      <c r="AG2" s="101"/>
    </row>
    <row r="3" spans="1:36" ht="13.5" thickBot="1" x14ac:dyDescent="0.25">
      <c r="A3" s="80" t="s">
        <v>31</v>
      </c>
      <c r="B3" s="92" t="s">
        <v>40</v>
      </c>
      <c r="C3" s="90">
        <v>5</v>
      </c>
      <c r="D3" s="90">
        <v>5</v>
      </c>
      <c r="E3" s="90">
        <v>2</v>
      </c>
      <c r="F3" s="90">
        <v>3</v>
      </c>
      <c r="G3" s="90">
        <v>3</v>
      </c>
      <c r="H3" s="90"/>
      <c r="I3" s="90"/>
      <c r="J3" s="81">
        <f>IF(C3&gt;C4,1,0)+IF(D3&gt;D4,1,0)+IF(E3&gt;E4,1,0)+IF(F3&gt;F4,1,0)+IF(G3&gt;G4,1,0)+IF(H3&gt;H4,1,0)+IF(I3&gt;I4,1,0)</f>
        <v>4</v>
      </c>
      <c r="K3" s="13"/>
      <c r="M3" s="95"/>
      <c r="N3" s="95"/>
      <c r="O3" s="97"/>
      <c r="P3" s="97"/>
      <c r="Q3" s="97"/>
      <c r="R3" s="97"/>
      <c r="S3" s="97"/>
      <c r="T3" s="97"/>
      <c r="U3" s="97"/>
      <c r="Y3" s="95"/>
      <c r="Z3" s="95"/>
      <c r="AA3" s="101"/>
      <c r="AB3" s="101"/>
      <c r="AC3" s="101"/>
      <c r="AD3" s="101"/>
      <c r="AE3" s="101"/>
      <c r="AF3" s="101"/>
      <c r="AG3" s="101"/>
    </row>
    <row r="4" spans="1:36" x14ac:dyDescent="0.2">
      <c r="A4" s="80" t="s">
        <v>28</v>
      </c>
      <c r="B4" s="92" t="s">
        <v>41</v>
      </c>
      <c r="C4" s="90">
        <v>2</v>
      </c>
      <c r="D4" s="90">
        <v>3</v>
      </c>
      <c r="E4" s="90">
        <v>5</v>
      </c>
      <c r="F4" s="90">
        <v>1</v>
      </c>
      <c r="G4" s="90">
        <v>1</v>
      </c>
      <c r="H4" s="90"/>
      <c r="I4" s="90"/>
      <c r="J4" s="81">
        <f>IF(C4&gt;C3,1,0)+IF(D4&gt;D3,1,0)+IF(E4&gt;E3,1,0)+IF(F4&gt;F3,1,0)+IF(G4&gt;G3,1,0)+IF(H4&gt;H3,1,0)+IF(I4&gt;I3,1,0)</f>
        <v>1</v>
      </c>
      <c r="K4" s="14"/>
      <c r="L4" s="4"/>
      <c r="M4" s="95"/>
      <c r="N4" s="95"/>
      <c r="O4" s="97"/>
      <c r="P4" s="97"/>
      <c r="Q4" s="97"/>
      <c r="R4" s="97"/>
      <c r="S4" s="97"/>
      <c r="T4" s="97"/>
      <c r="U4" s="97"/>
      <c r="Y4" s="95"/>
      <c r="Z4" s="95"/>
      <c r="AA4" s="101"/>
      <c r="AB4" s="101"/>
      <c r="AC4" s="101"/>
      <c r="AD4" s="101"/>
      <c r="AE4" s="101"/>
      <c r="AF4" s="101"/>
      <c r="AG4" s="101"/>
    </row>
    <row r="5" spans="1:36" x14ac:dyDescent="0.2">
      <c r="A5" s="54"/>
      <c r="B5" s="95"/>
      <c r="C5" s="96"/>
      <c r="D5" s="96"/>
      <c r="E5" s="96"/>
      <c r="F5" s="96"/>
      <c r="G5" s="96"/>
      <c r="H5" s="96"/>
      <c r="I5" s="96"/>
      <c r="K5" s="14"/>
      <c r="L5" s="4"/>
      <c r="M5" s="95"/>
      <c r="N5" s="95"/>
      <c r="O5" s="97"/>
      <c r="P5" s="97"/>
      <c r="Q5" s="97"/>
      <c r="R5" s="97"/>
      <c r="S5" s="97"/>
      <c r="T5" s="97"/>
      <c r="U5" s="97"/>
      <c r="Y5" s="95"/>
      <c r="Z5" s="95"/>
      <c r="AA5" s="101"/>
      <c r="AB5" s="101"/>
      <c r="AC5" s="101"/>
      <c r="AD5" s="101"/>
      <c r="AE5" s="101"/>
      <c r="AF5" s="101"/>
      <c r="AG5" s="101"/>
    </row>
    <row r="6" spans="1:36" ht="13.5" thickBot="1" x14ac:dyDescent="0.25">
      <c r="A6" s="80" t="s">
        <v>32</v>
      </c>
      <c r="B6" s="92" t="s">
        <v>42</v>
      </c>
      <c r="C6" s="90">
        <v>5</v>
      </c>
      <c r="D6" s="90">
        <v>7</v>
      </c>
      <c r="E6" s="90">
        <v>2</v>
      </c>
      <c r="F6" s="90">
        <v>3</v>
      </c>
      <c r="G6" s="90">
        <v>3</v>
      </c>
      <c r="H6" s="90">
        <v>1</v>
      </c>
      <c r="I6" s="90">
        <v>7</v>
      </c>
      <c r="J6" s="81">
        <f>IF(C6&gt;C7,1,0)+IF(D6&gt;D7,1,0)+IF(E6&gt;E7,1,0)+IF(F6&gt;F7,1,0)+IF(G6&gt;G7,1,0)+IF(H6&gt;H7,1,0)+IF(I6&gt;I7,1,0)</f>
        <v>4</v>
      </c>
      <c r="K6" s="16"/>
      <c r="L6" s="13"/>
      <c r="M6" s="80" t="s">
        <v>31</v>
      </c>
      <c r="N6" s="92" t="s">
        <v>40</v>
      </c>
      <c r="O6" s="90">
        <v>2</v>
      </c>
      <c r="P6" s="90">
        <v>4</v>
      </c>
      <c r="Q6" s="90">
        <v>4</v>
      </c>
      <c r="R6" s="90">
        <v>4</v>
      </c>
      <c r="S6" s="90">
        <v>3</v>
      </c>
      <c r="T6" s="90"/>
      <c r="U6" s="90"/>
      <c r="V6" s="81">
        <f>IF(O6&gt;O7,1,0)+IF(P6&gt;P7,1,0)+IF(Q6&gt;Q7,1,0)+IF(R6&gt;R7,1,0)+IF(S6&gt;S7,1,0)+IF(T6&gt;T7,1,0)+IF(U6&gt;U7,1,0)</f>
        <v>4</v>
      </c>
      <c r="W6" s="13"/>
      <c r="Y6" s="95"/>
      <c r="Z6" s="95"/>
      <c r="AA6" s="101"/>
      <c r="AB6" s="101"/>
      <c r="AC6" s="101"/>
      <c r="AD6" s="101"/>
      <c r="AE6" s="101"/>
      <c r="AF6" s="101"/>
      <c r="AG6" s="101"/>
    </row>
    <row r="7" spans="1:36" x14ac:dyDescent="0.2">
      <c r="A7" s="80" t="s">
        <v>33</v>
      </c>
      <c r="B7" s="92" t="s">
        <v>43</v>
      </c>
      <c r="C7" s="90">
        <v>1</v>
      </c>
      <c r="D7" s="90">
        <v>3</v>
      </c>
      <c r="E7" s="90">
        <v>4</v>
      </c>
      <c r="F7" s="90">
        <v>1</v>
      </c>
      <c r="G7" s="90">
        <v>4</v>
      </c>
      <c r="H7" s="90">
        <v>3</v>
      </c>
      <c r="I7" s="90">
        <v>4</v>
      </c>
      <c r="J7" s="81">
        <f>IF(C7&gt;C6,1,0)+IF(D7&gt;D6,1,0)+IF(E7&gt;E6,1,0)+IF(F7&gt;F6,1,0)+IF(G7&gt;G6,1,0)+IF(H7&gt;H6,1,0)+IF(I7&gt;I6,1,0)</f>
        <v>3</v>
      </c>
      <c r="K7" s="56"/>
      <c r="L7" s="4"/>
      <c r="M7" s="80" t="s">
        <v>32</v>
      </c>
      <c r="N7" s="92" t="s">
        <v>42</v>
      </c>
      <c r="O7" s="90">
        <v>6</v>
      </c>
      <c r="P7" s="90">
        <v>2</v>
      </c>
      <c r="Q7" s="90">
        <v>1</v>
      </c>
      <c r="R7" s="90">
        <v>3</v>
      </c>
      <c r="S7" s="90">
        <v>1</v>
      </c>
      <c r="T7" s="90"/>
      <c r="U7" s="90"/>
      <c r="V7" s="81">
        <f>IF(O7&gt;O6,1,0)+IF(P7&gt;P6,1,0)+IF(Q7&gt;Q6,1,0)+IF(R7&gt;R6,1,0)+IF(S7&gt;S6,1,0)+IF(T7&gt;T6,1,0)+IF(U7&gt;U6,1,0)</f>
        <v>1</v>
      </c>
      <c r="W7" s="14"/>
      <c r="X7" s="4"/>
      <c r="Y7" s="95"/>
      <c r="Z7" s="95"/>
      <c r="AA7" s="101"/>
      <c r="AB7" s="101"/>
      <c r="AC7" s="101"/>
      <c r="AD7" s="101"/>
      <c r="AE7" s="101"/>
      <c r="AF7" s="101"/>
      <c r="AG7" s="101"/>
    </row>
    <row r="8" spans="1:36" ht="13.5" thickBot="1" x14ac:dyDescent="0.25">
      <c r="A8" s="54"/>
      <c r="B8" s="95"/>
      <c r="C8" s="96"/>
      <c r="D8" s="96"/>
      <c r="E8" s="96"/>
      <c r="F8" s="96"/>
      <c r="G8" s="96"/>
      <c r="H8" s="96"/>
      <c r="I8" s="96"/>
      <c r="K8" s="4"/>
      <c r="L8" s="4"/>
      <c r="M8" s="98"/>
      <c r="N8" s="95"/>
      <c r="O8" s="99"/>
      <c r="P8" s="99"/>
      <c r="Q8" s="99"/>
      <c r="R8" s="99"/>
      <c r="S8" s="99"/>
      <c r="T8" s="99"/>
      <c r="U8" s="99"/>
      <c r="V8" s="2"/>
      <c r="W8" s="14"/>
      <c r="X8" s="13"/>
      <c r="Y8" s="80" t="s">
        <v>31</v>
      </c>
      <c r="Z8" s="92" t="s">
        <v>40</v>
      </c>
      <c r="AA8" s="90">
        <v>2</v>
      </c>
      <c r="AB8" s="90">
        <v>2</v>
      </c>
      <c r="AC8" s="90">
        <v>4</v>
      </c>
      <c r="AD8" s="90">
        <v>4</v>
      </c>
      <c r="AE8" s="90">
        <v>3</v>
      </c>
      <c r="AF8" s="90">
        <v>0</v>
      </c>
      <c r="AG8" s="90">
        <v>0</v>
      </c>
      <c r="AH8" s="81">
        <f>IF(AA8&gt;AA9,1,0)+IF(AB8&gt;AB9,1,0)+IF(AC8&gt;AC9,1,0)+IF(AD8&gt;AD9,1,0)+IF(AE8&gt;AE9,1,0)+IF(AF8&gt;AF9,1,0)+IF(AG8&gt;AG9,1,0)</f>
        <v>3</v>
      </c>
      <c r="AI8" s="13"/>
      <c r="AJ8" s="13"/>
    </row>
    <row r="9" spans="1:36" x14ac:dyDescent="0.2">
      <c r="A9" s="54"/>
      <c r="B9" s="95"/>
      <c r="C9" s="96"/>
      <c r="D9" s="96"/>
      <c r="E9" s="96"/>
      <c r="F9" s="96"/>
      <c r="G9" s="96"/>
      <c r="H9" s="96"/>
      <c r="I9" s="96"/>
      <c r="K9" s="4"/>
      <c r="L9" s="4"/>
      <c r="M9" s="98"/>
      <c r="N9" s="95"/>
      <c r="O9" s="99"/>
      <c r="P9" s="99"/>
      <c r="Q9" s="99"/>
      <c r="R9" s="99"/>
      <c r="S9" s="99"/>
      <c r="T9" s="99"/>
      <c r="U9" s="99"/>
      <c r="V9" s="2"/>
      <c r="W9" s="14"/>
      <c r="X9" s="4"/>
      <c r="Y9" s="80" t="s">
        <v>27</v>
      </c>
      <c r="Z9" s="92" t="s">
        <v>44</v>
      </c>
      <c r="AA9" s="90">
        <v>4</v>
      </c>
      <c r="AB9" s="90">
        <v>6</v>
      </c>
      <c r="AC9" s="90">
        <v>2</v>
      </c>
      <c r="AD9" s="90">
        <v>2</v>
      </c>
      <c r="AE9" s="90">
        <v>2</v>
      </c>
      <c r="AF9" s="90">
        <v>3</v>
      </c>
      <c r="AG9" s="90">
        <v>4</v>
      </c>
      <c r="AH9" s="81">
        <f>IF(AA9&gt;AA8,1,0)+IF(AB9&gt;AB8,1,0)+IF(AC9&gt;AC8,1,0)+IF(AD9&gt;AD8,1,0)+IF(AE9&gt;AE8,1,0)+IF(AF9&gt;AF8,1,0)+IF(AG9&gt;AG8,1,0)</f>
        <v>4</v>
      </c>
      <c r="AI9" s="4"/>
      <c r="AJ9" s="14"/>
    </row>
    <row r="10" spans="1:36" ht="13.5" thickBot="1" x14ac:dyDescent="0.25">
      <c r="A10" s="80" t="s">
        <v>27</v>
      </c>
      <c r="B10" s="92" t="s">
        <v>44</v>
      </c>
      <c r="C10" s="90">
        <v>3</v>
      </c>
      <c r="D10" s="90">
        <v>4</v>
      </c>
      <c r="E10" s="90">
        <v>3</v>
      </c>
      <c r="F10" s="90">
        <v>4</v>
      </c>
      <c r="G10" s="91">
        <v>4</v>
      </c>
      <c r="H10" s="90">
        <v>6</v>
      </c>
      <c r="I10" s="91"/>
      <c r="J10" s="81">
        <f>IF(C10&gt;C11,1,0)+IF(D10&gt;D11,1,0)+IF(E10&gt;E11,1,0)+IF(F10&gt;F11,1,0)+IF(G10&gt;G11,1,0)+IF(H10&gt;H11,1,0)+IF(I10&gt;I11,1,0)</f>
        <v>4</v>
      </c>
      <c r="K10" s="13"/>
      <c r="L10" s="13"/>
      <c r="M10" s="80" t="s">
        <v>27</v>
      </c>
      <c r="N10" s="92" t="s">
        <v>44</v>
      </c>
      <c r="O10" s="90">
        <v>2</v>
      </c>
      <c r="P10" s="90">
        <v>4</v>
      </c>
      <c r="Q10" s="90">
        <v>4</v>
      </c>
      <c r="R10" s="90">
        <v>1</v>
      </c>
      <c r="S10" s="90">
        <v>6</v>
      </c>
      <c r="T10" s="90">
        <v>2</v>
      </c>
      <c r="U10" s="90"/>
      <c r="V10" s="81">
        <f>IF(O10&gt;O11,1,0)+IF(P10&gt;P11,1,0)+IF(Q10&gt;Q11,1,0)+IF(R10&gt;R11,1,0)+IF(S10&gt;S11,1,0)+IF(T10&gt;T11,1,0)+IF(U10&gt;U11,1,0)</f>
        <v>4</v>
      </c>
      <c r="W10" s="16"/>
      <c r="X10" s="4"/>
      <c r="Y10" s="102"/>
      <c r="Z10" s="95"/>
      <c r="AA10" s="101"/>
      <c r="AB10" s="101"/>
      <c r="AC10" s="101"/>
      <c r="AD10" s="101"/>
      <c r="AE10" s="101"/>
      <c r="AF10" s="101"/>
      <c r="AG10" s="101"/>
      <c r="AI10" s="4"/>
      <c r="AJ10" s="14"/>
    </row>
    <row r="11" spans="1:36" x14ac:dyDescent="0.2">
      <c r="A11" s="80" t="s">
        <v>28</v>
      </c>
      <c r="B11" s="92" t="s">
        <v>45</v>
      </c>
      <c r="C11" s="90">
        <v>4</v>
      </c>
      <c r="D11" s="90">
        <v>5</v>
      </c>
      <c r="E11" s="90">
        <v>2</v>
      </c>
      <c r="F11" s="90">
        <v>1</v>
      </c>
      <c r="G11" s="91">
        <v>3</v>
      </c>
      <c r="H11" s="90">
        <v>3</v>
      </c>
      <c r="I11" s="91"/>
      <c r="J11" s="81">
        <f>IF(C11&gt;C10,1,0)+IF(D11&gt;D10,1,0)+IF(E11&gt;E10,1,0)+IF(F11&gt;F10,1,0)+IF(G11&gt;G10,1,0)+IF(H11&gt;H10,1,0)+IF(I11&gt;I10,1,0)</f>
        <v>2</v>
      </c>
      <c r="K11" s="14"/>
      <c r="L11" s="4"/>
      <c r="M11" s="80" t="s">
        <v>29</v>
      </c>
      <c r="N11" s="92" t="s">
        <v>46</v>
      </c>
      <c r="O11" s="90">
        <v>3</v>
      </c>
      <c r="P11" s="90">
        <v>1</v>
      </c>
      <c r="Q11" s="90">
        <v>3</v>
      </c>
      <c r="R11" s="90">
        <v>3</v>
      </c>
      <c r="S11" s="90">
        <v>3</v>
      </c>
      <c r="T11" s="90">
        <v>1</v>
      </c>
      <c r="U11" s="90"/>
      <c r="V11" s="81">
        <f>IF(O11&gt;O10,1,0)+IF(P11&gt;P10,1,0)+IF(Q11&gt;Q10,1,0)+IF(R11&gt;R10,1,0)+IF(S11&gt;S10,1,0)+IF(T11&gt;T10,1,0)+IF(U11&gt;U10,1,0)</f>
        <v>2</v>
      </c>
      <c r="Y11" s="102"/>
      <c r="Z11" s="95"/>
      <c r="AA11" s="101"/>
      <c r="AB11" s="101"/>
      <c r="AC11" s="101"/>
      <c r="AD11" s="101"/>
      <c r="AE11" s="101"/>
      <c r="AF11" s="101"/>
      <c r="AG11" s="101"/>
      <c r="AI11" s="4"/>
      <c r="AJ11" s="14"/>
    </row>
    <row r="12" spans="1:36" x14ac:dyDescent="0.2">
      <c r="A12" s="54"/>
      <c r="B12" s="95"/>
      <c r="C12" s="96"/>
      <c r="D12" s="96"/>
      <c r="E12" s="96"/>
      <c r="F12" s="96"/>
      <c r="G12" s="96"/>
      <c r="H12" s="96"/>
      <c r="I12" s="96"/>
      <c r="K12" s="14"/>
      <c r="L12" s="4"/>
      <c r="M12" s="95"/>
      <c r="N12" s="95"/>
      <c r="O12" s="97"/>
      <c r="P12" s="97"/>
      <c r="Q12" s="97"/>
      <c r="R12" s="97"/>
      <c r="S12" s="97"/>
      <c r="T12" s="97"/>
      <c r="U12" s="97"/>
      <c r="Y12" s="102"/>
      <c r="Z12" s="95"/>
      <c r="AA12" s="101"/>
      <c r="AB12" s="101"/>
      <c r="AC12" s="101"/>
      <c r="AD12" s="101"/>
      <c r="AE12" s="101"/>
      <c r="AF12" s="101"/>
      <c r="AG12" s="101"/>
      <c r="AI12" s="4"/>
      <c r="AJ12" s="14"/>
    </row>
    <row r="13" spans="1:36" ht="13.5" thickBot="1" x14ac:dyDescent="0.25">
      <c r="A13" s="80" t="s">
        <v>29</v>
      </c>
      <c r="B13" s="92" t="s">
        <v>46</v>
      </c>
      <c r="C13" s="90">
        <v>7</v>
      </c>
      <c r="D13" s="91">
        <v>1</v>
      </c>
      <c r="E13" s="90">
        <v>5</v>
      </c>
      <c r="F13" s="90">
        <v>5</v>
      </c>
      <c r="G13" s="91">
        <v>2</v>
      </c>
      <c r="H13" s="91">
        <v>8</v>
      </c>
      <c r="I13" s="91"/>
      <c r="J13" s="81">
        <f>IF(C13&gt;C14,1,0)+IF(D13&gt;D14,1,0)+IF(E13&gt;E14,1,0)+IF(F13&gt;F14,1,0)+IF(G13&gt;G14,1,0)+IF(H13&gt;H14,1,0)+IF(I13&gt;I14,1,0)</f>
        <v>4</v>
      </c>
      <c r="K13" s="16"/>
      <c r="L13" s="4"/>
      <c r="M13" s="95"/>
      <c r="N13" s="95"/>
      <c r="O13" s="97"/>
      <c r="P13" s="97"/>
      <c r="Q13" s="97"/>
      <c r="R13" s="97"/>
      <c r="S13" s="97"/>
      <c r="T13" s="97"/>
      <c r="U13" s="97"/>
      <c r="X13" s="4"/>
      <c r="Y13" s="103"/>
      <c r="Z13" s="95"/>
      <c r="AA13" s="101"/>
      <c r="AB13" s="101"/>
      <c r="AC13" s="101"/>
      <c r="AD13" s="101"/>
      <c r="AE13" s="101"/>
      <c r="AF13" s="101"/>
      <c r="AG13" s="101"/>
      <c r="AI13" s="4"/>
      <c r="AJ13" s="14"/>
    </row>
    <row r="14" spans="1:36" x14ac:dyDescent="0.2">
      <c r="A14" s="80" t="s">
        <v>30</v>
      </c>
      <c r="B14" s="92" t="s">
        <v>47</v>
      </c>
      <c r="C14" s="90">
        <v>0</v>
      </c>
      <c r="D14" s="91">
        <v>5</v>
      </c>
      <c r="E14" s="90">
        <v>1</v>
      </c>
      <c r="F14" s="90">
        <v>0</v>
      </c>
      <c r="G14" s="91">
        <v>4</v>
      </c>
      <c r="H14" s="91">
        <v>5</v>
      </c>
      <c r="I14" s="91"/>
      <c r="J14" s="81">
        <f>IF(C14&gt;C13,1,0)+IF(D14&gt;D13,1,0)+IF(E14&gt;E13,1,0)+IF(F14&gt;F13,1,0)+IF(G14&gt;G13,1,0)+IF(H14&gt;H13,1,0)+IF(I14&gt;I13,1,0)</f>
        <v>2</v>
      </c>
      <c r="M14" s="95"/>
      <c r="N14" s="95"/>
      <c r="O14" s="97"/>
      <c r="P14" s="97"/>
      <c r="Q14" s="97"/>
      <c r="R14" s="97"/>
      <c r="S14" s="97"/>
      <c r="T14" s="97"/>
      <c r="U14" s="97"/>
      <c r="X14" s="5"/>
      <c r="Y14" s="104"/>
      <c r="Z14" s="104"/>
      <c r="AA14" s="104"/>
      <c r="AB14" s="104"/>
      <c r="AC14" s="104"/>
      <c r="AD14" s="104"/>
      <c r="AE14" s="104"/>
      <c r="AF14" s="104"/>
      <c r="AG14" s="104"/>
      <c r="AH14" s="6"/>
      <c r="AI14" s="7"/>
      <c r="AJ14" s="14"/>
    </row>
    <row r="15" spans="1:36" ht="13.5" thickBot="1" x14ac:dyDescent="0.25">
      <c r="A15" s="54"/>
      <c r="B15" s="95"/>
      <c r="C15" s="96"/>
      <c r="D15" s="96"/>
      <c r="E15" s="96"/>
      <c r="F15" s="96"/>
      <c r="G15" s="96"/>
      <c r="H15" s="96"/>
      <c r="I15" s="96"/>
      <c r="M15" s="95"/>
      <c r="N15" s="95"/>
      <c r="O15" s="97"/>
      <c r="P15" s="97"/>
      <c r="Q15" s="97"/>
      <c r="R15" s="97"/>
      <c r="S15" s="97"/>
      <c r="T15" s="97"/>
      <c r="U15" s="97"/>
      <c r="X15" s="12"/>
      <c r="Y15" s="80" t="s">
        <v>27</v>
      </c>
      <c r="Z15" s="92" t="s">
        <v>44</v>
      </c>
      <c r="AA15" s="90">
        <v>4</v>
      </c>
      <c r="AB15" s="90">
        <v>3</v>
      </c>
      <c r="AC15" s="90">
        <v>3</v>
      </c>
      <c r="AD15" s="90">
        <v>6</v>
      </c>
      <c r="AE15" s="90">
        <v>4</v>
      </c>
      <c r="AF15" s="90"/>
      <c r="AG15" s="90"/>
      <c r="AH15" s="81">
        <f>IF(AA15&gt;AA16,1,0)+IF(AB15&gt;AB16,1,0)+IF(AC15&gt;AC16,1,0)+IF(AD15&gt;AD16,1,0)+IF(AE15&gt;AE16,1,0)+IF(AF15&gt;AF16,1,0)+IF(AG15&gt;AG16,1,0)</f>
        <v>4</v>
      </c>
      <c r="AI15" s="8"/>
      <c r="AJ15" s="15"/>
    </row>
    <row r="16" spans="1:36" x14ac:dyDescent="0.2">
      <c r="A16" s="54"/>
      <c r="B16" s="95"/>
      <c r="C16" s="96"/>
      <c r="D16" s="96"/>
      <c r="E16" s="96"/>
      <c r="F16" s="96"/>
      <c r="G16" s="96"/>
      <c r="H16" s="96"/>
      <c r="I16" s="96"/>
      <c r="M16" s="95"/>
      <c r="N16" s="95"/>
      <c r="O16" s="97"/>
      <c r="P16" s="97"/>
      <c r="Q16" s="97"/>
      <c r="R16" s="97"/>
      <c r="S16" s="97"/>
      <c r="T16" s="97"/>
      <c r="U16" s="97"/>
      <c r="X16" s="12"/>
      <c r="Y16" s="80" t="s">
        <v>34</v>
      </c>
      <c r="Z16" s="92" t="s">
        <v>52</v>
      </c>
      <c r="AA16" s="90">
        <v>6</v>
      </c>
      <c r="AB16" s="90">
        <v>2</v>
      </c>
      <c r="AC16" s="90">
        <v>1</v>
      </c>
      <c r="AD16" s="90">
        <v>2</v>
      </c>
      <c r="AE16" s="90">
        <v>3</v>
      </c>
      <c r="AF16" s="90"/>
      <c r="AG16" s="90"/>
      <c r="AH16" s="81">
        <f>IF(AA16&gt;AA15,1,0)+IF(AB16&gt;AB15,1,0)+IF(AC16&gt;AC15,1,0)+IF(AD16&gt;AD15,1,0)+IF(AE16&gt;AE15,1,0)+IF(AF16&gt;AF15,1,0)+IF(AG16&gt;AG15,1,0)</f>
        <v>1</v>
      </c>
      <c r="AI16" s="8"/>
      <c r="AJ16" s="14"/>
    </row>
    <row r="17" spans="1:36" ht="13.5" thickBot="1" x14ac:dyDescent="0.25">
      <c r="A17" s="80" t="s">
        <v>37</v>
      </c>
      <c r="B17" s="92" t="s">
        <v>48</v>
      </c>
      <c r="C17" s="90">
        <v>5</v>
      </c>
      <c r="D17" s="91">
        <v>5</v>
      </c>
      <c r="E17" s="90">
        <v>3</v>
      </c>
      <c r="F17" s="91">
        <v>3</v>
      </c>
      <c r="G17" s="90">
        <v>1</v>
      </c>
      <c r="H17" s="90">
        <v>5</v>
      </c>
      <c r="I17" s="90"/>
      <c r="J17" s="81">
        <f>IF(C17&gt;C18,1,0)+IF(D17&gt;D18,1,0)+IF(E17&gt;E18,1,0)+IF(F17&gt;F18,1,0)+IF(G17&gt;G18,1,0)+IF(H17&gt;H18,1,0)+IF(I17&gt;I18,1,0)</f>
        <v>4</v>
      </c>
      <c r="K17" s="13"/>
      <c r="M17" s="95"/>
      <c r="N17" s="95"/>
      <c r="O17" s="97"/>
      <c r="P17" s="97"/>
      <c r="Q17" s="100"/>
      <c r="R17" s="97"/>
      <c r="S17" s="97"/>
      <c r="T17" s="97"/>
      <c r="U17" s="97"/>
      <c r="X17" s="10"/>
      <c r="Y17" s="105"/>
      <c r="Z17" s="105"/>
      <c r="AA17" s="105"/>
      <c r="AB17" s="105"/>
      <c r="AC17" s="105"/>
      <c r="AD17" s="105"/>
      <c r="AE17" s="105"/>
      <c r="AF17" s="105"/>
      <c r="AG17" s="105"/>
      <c r="AH17" s="11"/>
      <c r="AI17" s="9"/>
      <c r="AJ17" s="14"/>
    </row>
    <row r="18" spans="1:36" x14ac:dyDescent="0.2">
      <c r="A18" s="80" t="s">
        <v>28</v>
      </c>
      <c r="B18" s="92" t="s">
        <v>49</v>
      </c>
      <c r="C18" s="90">
        <v>2</v>
      </c>
      <c r="D18" s="91">
        <v>4</v>
      </c>
      <c r="E18" s="90">
        <v>5</v>
      </c>
      <c r="F18" s="91">
        <v>2</v>
      </c>
      <c r="G18" s="90">
        <v>2</v>
      </c>
      <c r="H18" s="90">
        <v>0</v>
      </c>
      <c r="I18" s="90"/>
      <c r="J18" s="81">
        <f>IF(C18&gt;C17,1,0)+IF(D18&gt;D17,1,0)+IF(E18&gt;E17,1,0)+IF(F18&gt;F17,1,0)+IF(G18&gt;G17,1,0)+IF(H18&gt;H17,1,0)+IF(I18&gt;I17,1,0)</f>
        <v>2</v>
      </c>
      <c r="K18" s="14"/>
      <c r="L18" s="4"/>
      <c r="M18" s="95"/>
      <c r="N18" s="95"/>
      <c r="O18" s="97"/>
      <c r="P18" s="97"/>
      <c r="Q18" s="97"/>
      <c r="R18" s="97"/>
      <c r="S18" s="97"/>
      <c r="T18" s="97"/>
      <c r="U18" s="97"/>
      <c r="Y18" s="106"/>
      <c r="Z18" s="95"/>
      <c r="AA18" s="101"/>
      <c r="AB18" s="101"/>
      <c r="AC18" s="101"/>
      <c r="AD18" s="101"/>
      <c r="AE18" s="101"/>
      <c r="AF18" s="101"/>
      <c r="AG18" s="101"/>
      <c r="AI18" s="4"/>
      <c r="AJ18" s="14"/>
    </row>
    <row r="19" spans="1:36" x14ac:dyDescent="0.2">
      <c r="A19" s="54"/>
      <c r="B19" s="95"/>
      <c r="C19" s="96"/>
      <c r="D19" s="96"/>
      <c r="E19" s="96"/>
      <c r="F19" s="96"/>
      <c r="G19" s="96"/>
      <c r="H19" s="96"/>
      <c r="I19" s="96"/>
      <c r="K19" s="14"/>
      <c r="L19" s="4"/>
      <c r="M19" s="95"/>
      <c r="N19" s="95"/>
      <c r="O19" s="97"/>
      <c r="P19" s="97"/>
      <c r="Q19" s="97"/>
      <c r="R19" s="97"/>
      <c r="S19" s="97"/>
      <c r="T19" s="97"/>
      <c r="U19" s="97"/>
      <c r="Y19" s="102"/>
      <c r="Z19" s="95"/>
      <c r="AA19" s="101"/>
      <c r="AB19" s="101"/>
      <c r="AC19" s="101"/>
      <c r="AD19" s="101"/>
      <c r="AE19" s="101"/>
      <c r="AF19" s="101"/>
      <c r="AG19" s="101"/>
      <c r="AI19" s="4"/>
      <c r="AJ19" s="14"/>
    </row>
    <row r="20" spans="1:36" ht="13.5" thickBot="1" x14ac:dyDescent="0.25">
      <c r="A20" s="80" t="s">
        <v>38</v>
      </c>
      <c r="B20" s="92" t="s">
        <v>50</v>
      </c>
      <c r="C20" s="90">
        <v>3</v>
      </c>
      <c r="D20" s="90">
        <v>4</v>
      </c>
      <c r="E20" s="90">
        <v>2</v>
      </c>
      <c r="F20" s="90">
        <v>2</v>
      </c>
      <c r="G20" s="90">
        <v>5</v>
      </c>
      <c r="H20" s="90"/>
      <c r="I20" s="91"/>
      <c r="J20" s="81">
        <f>IF(C20&gt;C21,1,0)+IF(D20&gt;D21,1,0)+IF(E20&gt;E21,1,0)+IF(F20&gt;F21,1,0)+IF(G20&gt;G21,1,0)+IF(H20&gt;H21,1,0)+IF(I20&gt;I21,1,0)</f>
        <v>4</v>
      </c>
      <c r="K20" s="16"/>
      <c r="L20" s="13"/>
      <c r="M20" s="80" t="s">
        <v>37</v>
      </c>
      <c r="N20" s="92" t="s">
        <v>48</v>
      </c>
      <c r="O20" s="90">
        <v>1</v>
      </c>
      <c r="P20" s="90">
        <v>5</v>
      </c>
      <c r="Q20" s="90">
        <v>4</v>
      </c>
      <c r="R20" s="90">
        <v>2</v>
      </c>
      <c r="S20" s="90">
        <v>2</v>
      </c>
      <c r="T20" s="90">
        <v>4</v>
      </c>
      <c r="U20" s="90">
        <v>1</v>
      </c>
      <c r="V20" s="81">
        <f>IF(O20&gt;O21,1,0)+IF(P20&gt;P21,1,0)+IF(Q20&gt;Q21,1,0)+IF(R20&gt;R21,1,0)+IF(S20&gt;S21,1,0)+IF(T20&gt;T21,1,0)+IF(U20&gt;U21,1,0)</f>
        <v>3</v>
      </c>
      <c r="W20" s="13"/>
      <c r="Y20" s="102"/>
      <c r="Z20" s="95"/>
      <c r="AA20" s="101"/>
      <c r="AB20" s="101"/>
      <c r="AC20" s="101"/>
      <c r="AD20" s="101"/>
      <c r="AE20" s="101"/>
      <c r="AF20" s="101"/>
      <c r="AG20" s="101"/>
      <c r="AI20" s="4"/>
      <c r="AJ20" s="14"/>
    </row>
    <row r="21" spans="1:36" x14ac:dyDescent="0.2">
      <c r="A21" s="80" t="s">
        <v>39</v>
      </c>
      <c r="B21" s="92" t="s">
        <v>51</v>
      </c>
      <c r="C21" s="90">
        <v>2</v>
      </c>
      <c r="D21" s="90">
        <v>1</v>
      </c>
      <c r="E21" s="90">
        <v>6</v>
      </c>
      <c r="F21" s="90">
        <v>0</v>
      </c>
      <c r="G21" s="90">
        <v>0</v>
      </c>
      <c r="H21" s="90"/>
      <c r="I21" s="91"/>
      <c r="J21" s="81">
        <f>IF(C21&gt;C20,1,0)+IF(D21&gt;D20,1,0)+IF(E21&gt;E20,1,0)+IF(F21&gt;F20,1,0)+IF(G21&gt;G20,1,0)+IF(H21&gt;H20,1,0)+IF(I21&gt;I20,1,0)</f>
        <v>1</v>
      </c>
      <c r="K21" s="56"/>
      <c r="L21" s="4"/>
      <c r="M21" s="80" t="s">
        <v>38</v>
      </c>
      <c r="N21" s="92" t="s">
        <v>50</v>
      </c>
      <c r="O21" s="90">
        <v>4</v>
      </c>
      <c r="P21" s="90">
        <v>4</v>
      </c>
      <c r="Q21" s="90">
        <v>7</v>
      </c>
      <c r="R21" s="90">
        <v>1</v>
      </c>
      <c r="S21" s="90">
        <v>6</v>
      </c>
      <c r="T21" s="90">
        <v>0</v>
      </c>
      <c r="U21" s="90">
        <v>5</v>
      </c>
      <c r="V21" s="81">
        <f>IF(O21&gt;O20,1,0)+IF(P21&gt;P20,1,0)+IF(Q21&gt;Q20,1,0)+IF(R21&gt;R20,1,0)+IF(S21&gt;S20,1,0)+IF(T21&gt;T20,1,0)+IF(U21&gt;U20,1,0)</f>
        <v>4</v>
      </c>
      <c r="W21" s="14"/>
      <c r="X21" s="4"/>
      <c r="Y21" s="102"/>
      <c r="Z21" s="95"/>
      <c r="AA21" s="101"/>
      <c r="AB21" s="101"/>
      <c r="AC21" s="101"/>
      <c r="AD21" s="101"/>
      <c r="AE21" s="101"/>
      <c r="AF21" s="101"/>
      <c r="AG21" s="101"/>
      <c r="AI21" s="4"/>
      <c r="AJ21" s="14"/>
    </row>
    <row r="22" spans="1:36" ht="13.5" thickBot="1" x14ac:dyDescent="0.25">
      <c r="A22" s="54"/>
      <c r="B22" s="95"/>
      <c r="C22" s="96"/>
      <c r="D22" s="96"/>
      <c r="E22" s="96"/>
      <c r="F22" s="96"/>
      <c r="G22" s="96"/>
      <c r="H22" s="96"/>
      <c r="I22" s="96"/>
      <c r="K22" s="4"/>
      <c r="L22" s="4"/>
      <c r="M22" s="98"/>
      <c r="N22" s="95"/>
      <c r="O22" s="99"/>
      <c r="P22" s="99"/>
      <c r="Q22" s="99"/>
      <c r="R22" s="99"/>
      <c r="S22" s="99"/>
      <c r="T22" s="99"/>
      <c r="U22" s="99"/>
      <c r="V22" s="2"/>
      <c r="W22" s="14"/>
      <c r="X22" s="13"/>
      <c r="Y22" s="80" t="s">
        <v>38</v>
      </c>
      <c r="Z22" s="92" t="s">
        <v>50</v>
      </c>
      <c r="AA22" s="90">
        <v>4</v>
      </c>
      <c r="AB22" s="90">
        <v>1</v>
      </c>
      <c r="AC22" s="90">
        <v>2</v>
      </c>
      <c r="AD22" s="90">
        <v>2</v>
      </c>
      <c r="AE22" s="90">
        <v>1</v>
      </c>
      <c r="AF22" s="90"/>
      <c r="AG22" s="90"/>
      <c r="AH22" s="81">
        <f>IF(AA22&gt;AA23,1,0)+IF(AB22&gt;AB23,1,0)+IF(AC22&gt;AC23,1,0)+IF(AD22&gt;AD23,1,0)+IF(AE22&gt;AE23,1,0)+IF(AF22&gt;AF23,1,0)+IF(AG22&gt;AG23,1,0)</f>
        <v>1</v>
      </c>
      <c r="AI22" s="13"/>
      <c r="AJ22" s="16"/>
    </row>
    <row r="23" spans="1:36" x14ac:dyDescent="0.2">
      <c r="A23" s="54"/>
      <c r="B23" s="95"/>
      <c r="C23" s="96"/>
      <c r="D23" s="96"/>
      <c r="E23" s="96"/>
      <c r="F23" s="96"/>
      <c r="G23" s="96"/>
      <c r="H23" s="96"/>
      <c r="I23" s="96"/>
      <c r="K23" s="4"/>
      <c r="L23" s="4"/>
      <c r="M23" s="98"/>
      <c r="N23" s="95"/>
      <c r="O23" s="99"/>
      <c r="P23" s="99"/>
      <c r="Q23" s="99"/>
      <c r="R23" s="99"/>
      <c r="S23" s="99"/>
      <c r="T23" s="99"/>
      <c r="U23" s="99"/>
      <c r="V23" s="2"/>
      <c r="W23" s="14"/>
      <c r="X23" s="4"/>
      <c r="Y23" s="80" t="s">
        <v>34</v>
      </c>
      <c r="Z23" s="92" t="s">
        <v>52</v>
      </c>
      <c r="AA23" s="90">
        <v>2</v>
      </c>
      <c r="AB23" s="90">
        <v>3</v>
      </c>
      <c r="AC23" s="90">
        <v>4</v>
      </c>
      <c r="AD23" s="90">
        <v>3</v>
      </c>
      <c r="AE23" s="90">
        <v>2</v>
      </c>
      <c r="AF23" s="90"/>
      <c r="AG23" s="90"/>
      <c r="AH23" s="81">
        <f>IF(AA23&gt;AA22,1,0)+IF(AB23&gt;AB22,1,0)+IF(AC23&gt;AC22,1,0)+IF(AD23&gt;AD22,1,0)+IF(AE23&gt;AE22,1,0)+IF(AF23&gt;AF22,1,0)+IF(AG23&gt;AG22,1,0)</f>
        <v>4</v>
      </c>
    </row>
    <row r="24" spans="1:36" ht="13.5" thickBot="1" x14ac:dyDescent="0.25">
      <c r="A24" s="80" t="s">
        <v>34</v>
      </c>
      <c r="B24" s="92" t="s">
        <v>52</v>
      </c>
      <c r="C24" s="90">
        <v>1</v>
      </c>
      <c r="D24" s="90">
        <v>2</v>
      </c>
      <c r="E24" s="90">
        <v>3</v>
      </c>
      <c r="F24" s="90">
        <v>1</v>
      </c>
      <c r="G24" s="90"/>
      <c r="H24" s="90"/>
      <c r="I24" s="91"/>
      <c r="J24" s="81">
        <f>IF(C24&gt;C25,1,0)+IF(D24&gt;D25,1,0)+IF(E24&gt;E25,1,0)+IF(F24&gt;F25,1,0)+IF(G24&gt;G25,1,0)+IF(H24&gt;H25,1,0)+IF(I24&gt;I25,1,0)</f>
        <v>4</v>
      </c>
      <c r="K24" s="13"/>
      <c r="L24" s="13"/>
      <c r="M24" s="80" t="s">
        <v>34</v>
      </c>
      <c r="N24" s="92" t="s">
        <v>52</v>
      </c>
      <c r="O24" s="90">
        <v>7</v>
      </c>
      <c r="P24" s="91">
        <v>3</v>
      </c>
      <c r="Q24" s="91">
        <v>4</v>
      </c>
      <c r="R24" s="91">
        <v>0</v>
      </c>
      <c r="S24" s="91">
        <v>5</v>
      </c>
      <c r="T24" s="91">
        <v>3</v>
      </c>
      <c r="U24" s="90"/>
      <c r="V24" s="81">
        <f>IF(O24&gt;O25,1,0)+IF(P24&gt;P25,1,0)+IF(Q24&gt;Q25,1,0)+IF(R24&gt;R25,1,0)+IF(S24&gt;S25,1,0)+IF(T24&gt;T25,1,0)+IF(U24&gt;U25,1,0)</f>
        <v>4</v>
      </c>
      <c r="W24" s="16"/>
      <c r="X24" s="4"/>
      <c r="Y24" s="95"/>
      <c r="Z24" s="95"/>
      <c r="AA24" s="101"/>
      <c r="AB24" s="101"/>
      <c r="AC24" s="101"/>
      <c r="AD24" s="101"/>
      <c r="AE24" s="101"/>
      <c r="AF24" s="101"/>
      <c r="AG24" s="101"/>
    </row>
    <row r="25" spans="1:36" x14ac:dyDescent="0.2">
      <c r="A25" s="80" t="s">
        <v>28</v>
      </c>
      <c r="B25" s="92" t="s">
        <v>53</v>
      </c>
      <c r="C25" s="90">
        <v>0</v>
      </c>
      <c r="D25" s="90">
        <v>1</v>
      </c>
      <c r="E25" s="90">
        <v>2</v>
      </c>
      <c r="F25" s="90">
        <v>0</v>
      </c>
      <c r="G25" s="90"/>
      <c r="H25" s="90"/>
      <c r="I25" s="91"/>
      <c r="J25" s="81">
        <f>IF(C25&gt;C24,1,0)+IF(D25&gt;D24,1,0)+IF(E25&gt;E24,1,0)+IF(F25&gt;F24,1,0)+IF(G25&gt;G24,1,0)+IF(H25&gt;H24,1,0)+IF(I25&gt;I24,1,0)</f>
        <v>0</v>
      </c>
      <c r="K25" s="14"/>
      <c r="L25" s="4"/>
      <c r="M25" s="80" t="s">
        <v>36</v>
      </c>
      <c r="N25" s="92" t="s">
        <v>55</v>
      </c>
      <c r="O25" s="90">
        <v>0</v>
      </c>
      <c r="P25" s="91">
        <v>4</v>
      </c>
      <c r="Q25" s="91">
        <v>3</v>
      </c>
      <c r="R25" s="91">
        <v>4</v>
      </c>
      <c r="S25" s="91">
        <v>3</v>
      </c>
      <c r="T25" s="91">
        <v>0</v>
      </c>
      <c r="U25" s="90"/>
      <c r="V25" s="81">
        <f>IF(O25&gt;O24,1,0)+IF(P25&gt;P24,1,0)+IF(Q25&gt;Q24,1,0)+IF(R25&gt;R24,1,0)+IF(S25&gt;S24,1,0)+IF(T25&gt;T24,1,0)+IF(U25&gt;U24,1,0)</f>
        <v>2</v>
      </c>
      <c r="Y25" s="95"/>
      <c r="Z25" s="95"/>
      <c r="AA25" s="101"/>
      <c r="AB25" s="101"/>
      <c r="AC25" s="101"/>
      <c r="AD25" s="101"/>
      <c r="AE25" s="101"/>
      <c r="AF25" s="101"/>
      <c r="AG25" s="101"/>
    </row>
    <row r="26" spans="1:36" x14ac:dyDescent="0.2">
      <c r="A26" s="54"/>
      <c r="B26" s="95"/>
      <c r="C26" s="96"/>
      <c r="D26" s="96"/>
      <c r="E26" s="96"/>
      <c r="F26" s="96"/>
      <c r="G26" s="96"/>
      <c r="H26" s="96"/>
      <c r="I26" s="96"/>
      <c r="K26" s="14"/>
      <c r="L26" s="4"/>
      <c r="M26" s="95"/>
      <c r="N26" s="95"/>
      <c r="O26" s="97"/>
      <c r="P26" s="97"/>
      <c r="Q26" s="97"/>
      <c r="R26" s="97"/>
      <c r="S26" s="97"/>
      <c r="T26" s="97"/>
      <c r="U26" s="97"/>
      <c r="Y26" s="95"/>
      <c r="Z26" s="95"/>
      <c r="AA26" s="101"/>
      <c r="AB26" s="101"/>
      <c r="AC26" s="101"/>
      <c r="AD26" s="101"/>
      <c r="AE26" s="101"/>
      <c r="AF26" s="101"/>
      <c r="AG26" s="101"/>
    </row>
    <row r="27" spans="1:36" ht="13.5" thickBot="1" x14ac:dyDescent="0.25">
      <c r="A27" s="80" t="s">
        <v>35</v>
      </c>
      <c r="B27" s="92" t="s">
        <v>54</v>
      </c>
      <c r="C27" s="90">
        <v>0</v>
      </c>
      <c r="D27" s="90">
        <v>2</v>
      </c>
      <c r="E27" s="91">
        <v>1</v>
      </c>
      <c r="F27" s="91">
        <v>1</v>
      </c>
      <c r="G27" s="90"/>
      <c r="H27" s="91"/>
      <c r="I27" s="90"/>
      <c r="J27" s="81">
        <f>IF(C27&gt;C28,1,0)+IF(D27&gt;D28,1,0)+IF(E27&gt;E28,1,0)+IF(F27&gt;F28,1,0)+IF(G27&gt;G28,1,0)+IF(H27&gt;H28,1,0)+IF(I27&gt;I28,1,0)</f>
        <v>0</v>
      </c>
      <c r="K27" s="16"/>
      <c r="L27" s="4"/>
      <c r="M27" s="95"/>
      <c r="N27" s="95"/>
      <c r="O27" s="97"/>
      <c r="P27" s="97"/>
      <c r="Q27" s="97"/>
      <c r="R27" s="97"/>
      <c r="S27" s="97"/>
      <c r="T27" s="97"/>
      <c r="U27" s="97"/>
      <c r="Y27" s="95"/>
      <c r="Z27" s="95"/>
      <c r="AA27" s="101"/>
      <c r="AB27" s="101"/>
      <c r="AC27" s="101"/>
      <c r="AD27" s="101"/>
      <c r="AE27" s="101"/>
      <c r="AF27" s="101"/>
      <c r="AG27" s="101"/>
    </row>
    <row r="28" spans="1:36" x14ac:dyDescent="0.2">
      <c r="A28" s="80" t="s">
        <v>36</v>
      </c>
      <c r="B28" s="92" t="s">
        <v>55</v>
      </c>
      <c r="C28" s="90">
        <v>3</v>
      </c>
      <c r="D28" s="90">
        <v>3</v>
      </c>
      <c r="E28" s="90">
        <v>8</v>
      </c>
      <c r="F28" s="91">
        <v>2</v>
      </c>
      <c r="G28" s="90"/>
      <c r="H28" s="91"/>
      <c r="I28" s="90"/>
      <c r="J28" s="81">
        <f>IF(C28&gt;C27,1,0)+IF(D28&gt;D27,1,0)+IF(E28&gt;E27,1,0)+IF(F28&gt;F27,1,0)+IF(G28&gt;G27,1,0)+IF(H28&gt;H27,1,0)+IF(I28&gt;I27,1,0)</f>
        <v>4</v>
      </c>
      <c r="M28" s="1"/>
      <c r="O28" s="53"/>
      <c r="P28" s="53"/>
      <c r="Q28" s="53"/>
      <c r="R28" s="53"/>
      <c r="S28" s="53"/>
      <c r="T28" s="53"/>
      <c r="U28" s="53"/>
      <c r="Y28" s="95"/>
      <c r="Z28" s="95"/>
      <c r="AA28" s="101"/>
      <c r="AB28" s="101"/>
      <c r="AC28" s="101"/>
      <c r="AD28" s="101"/>
      <c r="AE28" s="101"/>
      <c r="AF28" s="101"/>
      <c r="AG28" s="101"/>
    </row>
    <row r="29" spans="1:36" x14ac:dyDescent="0.2">
      <c r="A29" s="54"/>
      <c r="B29" s="95"/>
      <c r="C29" s="96"/>
      <c r="D29" s="96"/>
      <c r="E29" s="96"/>
      <c r="F29" s="96"/>
      <c r="G29" s="96"/>
      <c r="H29" s="96"/>
      <c r="I29" s="96"/>
      <c r="M29" s="1"/>
      <c r="O29" s="53"/>
      <c r="P29" s="53"/>
      <c r="Q29" s="53"/>
      <c r="R29" s="53"/>
      <c r="S29" s="53"/>
      <c r="T29" s="53"/>
      <c r="U29" s="53"/>
      <c r="Y29" s="1"/>
      <c r="AA29" s="52"/>
      <c r="AB29" s="52"/>
      <c r="AC29" s="52"/>
      <c r="AD29" s="52"/>
      <c r="AE29" s="52"/>
      <c r="AF29" s="52"/>
    </row>
    <row r="30" spans="1:36" x14ac:dyDescent="0.2">
      <c r="A30" s="54"/>
      <c r="B30" s="95"/>
      <c r="C30" s="96"/>
      <c r="D30" s="96"/>
      <c r="E30" s="96"/>
      <c r="F30" s="96"/>
      <c r="G30" s="96"/>
      <c r="H30" s="96"/>
      <c r="I30" s="96"/>
      <c r="M30" s="1"/>
      <c r="O30" s="53"/>
      <c r="P30" s="53"/>
      <c r="Q30" s="53"/>
      <c r="R30" s="53"/>
      <c r="S30" s="53"/>
      <c r="T30" s="53"/>
      <c r="U30" s="53"/>
    </row>
    <row r="31" spans="1:36" x14ac:dyDescent="0.2">
      <c r="A31" s="54"/>
      <c r="C31" s="55"/>
      <c r="D31" s="55"/>
      <c r="E31" s="55"/>
      <c r="F31" s="55"/>
      <c r="G31" s="55"/>
      <c r="H31" s="55"/>
      <c r="I31" s="55"/>
      <c r="M31" s="1"/>
      <c r="O31" s="53"/>
      <c r="P31" s="53"/>
      <c r="Q31" s="53"/>
      <c r="R31" s="53"/>
      <c r="S31" s="53"/>
      <c r="T31" s="53"/>
      <c r="U31" s="53"/>
    </row>
  </sheetData>
  <phoneticPr fontId="2" type="noConversion"/>
  <conditionalFormatting sqref="C3:I3 C6:I6 O20:U20 C13:I13 AA8:AG8 AA15:AG15 O10:U10 O6:Q6 C10:I10 C24 C20:E20 C17:I17 O24:U24 AA22:AG22 F24:I24 G20:I20 C27:I27 S6:U6">
    <cfRule type="cellIs" dxfId="19" priority="27" stopIfTrue="1" operator="greaterThan">
      <formula>C4</formula>
    </cfRule>
  </conditionalFormatting>
  <conditionalFormatting sqref="C4:I4 C7:I7 O21:U21 C14:I14 AA9:AG9 AA16:AG16 O11:U11 O7:Q7 C11:I11 C25 C21:E21 C18:I18 O25:U25 AA23:AG23 F25:I25 G21:I21 C28:I28 S7:U7">
    <cfRule type="cellIs" dxfId="18" priority="28" stopIfTrue="1" operator="greaterThan">
      <formula>C3</formula>
    </cfRule>
  </conditionalFormatting>
  <conditionalFormatting sqref="C3:I3 C6:I6 O20:U20 C13:I13 AA8:AG8 AA15:AG15 O10:U10 O6:Q6 C10:I10 C24 C20:E20 C17:I17 O24:U24 AA22:AG22 F24:I24 G20:I20 C27:I27 S6:U6">
    <cfRule type="cellIs" dxfId="17" priority="18" stopIfTrue="1" operator="greaterThan">
      <formula>C4</formula>
    </cfRule>
  </conditionalFormatting>
  <conditionalFormatting sqref="C4:I4 C7:I7 O21:U21 C14:I14 AA9:AG9 AA16:AG16 O11:U11 O7:Q7 C11:I11 C25 C21:E21 C18:I18 O25:U25 AA23:AG23 F25:I25 G21:I21 C28:I28 S7:U7">
    <cfRule type="cellIs" dxfId="16" priority="17" stopIfTrue="1" operator="greaterThan">
      <formula>C3</formula>
    </cfRule>
  </conditionalFormatting>
  <conditionalFormatting sqref="D24">
    <cfRule type="cellIs" dxfId="15" priority="15" stopIfTrue="1" operator="greaterThan">
      <formula>D25</formula>
    </cfRule>
  </conditionalFormatting>
  <conditionalFormatting sqref="D25">
    <cfRule type="cellIs" dxfId="14" priority="16" stopIfTrue="1" operator="greaterThan">
      <formula>D24</formula>
    </cfRule>
  </conditionalFormatting>
  <conditionalFormatting sqref="D24">
    <cfRule type="cellIs" dxfId="13" priority="14" stopIfTrue="1" operator="greaterThan">
      <formula>D25</formula>
    </cfRule>
  </conditionalFormatting>
  <conditionalFormatting sqref="D25">
    <cfRule type="cellIs" dxfId="12" priority="13" stopIfTrue="1" operator="greaterThan">
      <formula>D24</formula>
    </cfRule>
  </conditionalFormatting>
  <conditionalFormatting sqref="E24">
    <cfRule type="cellIs" dxfId="11" priority="11" stopIfTrue="1" operator="greaterThan">
      <formula>E25</formula>
    </cfRule>
  </conditionalFormatting>
  <conditionalFormatting sqref="E25">
    <cfRule type="cellIs" dxfId="10" priority="12" stopIfTrue="1" operator="greaterThan">
      <formula>E24</formula>
    </cfRule>
  </conditionalFormatting>
  <conditionalFormatting sqref="E24">
    <cfRule type="cellIs" dxfId="9" priority="10" stopIfTrue="1" operator="greaterThan">
      <formula>E25</formula>
    </cfRule>
  </conditionalFormatting>
  <conditionalFormatting sqref="E25">
    <cfRule type="cellIs" dxfId="8" priority="9" stopIfTrue="1" operator="greaterThan">
      <formula>E24</formula>
    </cfRule>
  </conditionalFormatting>
  <conditionalFormatting sqref="F20">
    <cfRule type="cellIs" dxfId="7" priority="7" stopIfTrue="1" operator="greaterThan">
      <formula>F21</formula>
    </cfRule>
  </conditionalFormatting>
  <conditionalFormatting sqref="F21">
    <cfRule type="cellIs" dxfId="6" priority="8" stopIfTrue="1" operator="greaterThan">
      <formula>F20</formula>
    </cfRule>
  </conditionalFormatting>
  <conditionalFormatting sqref="F20">
    <cfRule type="cellIs" dxfId="5" priority="6" stopIfTrue="1" operator="greaterThan">
      <formula>F21</formula>
    </cfRule>
  </conditionalFormatting>
  <conditionalFormatting sqref="F21">
    <cfRule type="cellIs" dxfId="4" priority="5" stopIfTrue="1" operator="greaterThan">
      <formula>F20</formula>
    </cfRule>
  </conditionalFormatting>
  <conditionalFormatting sqref="R6">
    <cfRule type="cellIs" dxfId="3" priority="3" stopIfTrue="1" operator="greaterThan">
      <formula>R7</formula>
    </cfRule>
  </conditionalFormatting>
  <conditionalFormatting sqref="R7">
    <cfRule type="cellIs" dxfId="2" priority="4" stopIfTrue="1" operator="greaterThan">
      <formula>R6</formula>
    </cfRule>
  </conditionalFormatting>
  <conditionalFormatting sqref="R6">
    <cfRule type="cellIs" dxfId="1" priority="2" stopIfTrue="1" operator="greaterThan">
      <formula>R7</formula>
    </cfRule>
  </conditionalFormatting>
  <conditionalFormatting sqref="R7">
    <cfRule type="cellIs" dxfId="0" priority="1" stopIfTrue="1" operator="greaterThan">
      <formula>R6</formula>
    </cfRule>
  </conditionalFormatting>
  <pageMargins left="0.78740157480314965" right="0.78740157480314965" top="0.78740157480314965" bottom="0.78740157480314965" header="0.39370078740157483" footer="0.39370078740157483"/>
  <pageSetup paperSize="5" orientation="landscape" r:id="rId1"/>
  <headerFooter alignWithMargins="0">
    <oddHeader>&amp;L&amp;"Arial,Gras"&amp;20Séries éliminatoires&amp;R&amp;"Arial,Italique"
Dernière mise à jour: &amp;"Arial,Gras italique"&amp;D - 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12</vt:i4>
      </vt:variant>
    </vt:vector>
  </HeadingPairs>
  <TitlesOfParts>
    <vt:vector size="14" baseType="lpstr">
      <vt:lpstr>Pool - Ville de Laval</vt:lpstr>
      <vt:lpstr>Résultats</vt:lpstr>
      <vt:lpstr>PT_PREDICTION_EQUIPE_R1</vt:lpstr>
      <vt:lpstr>PT_PREDICTION_EQUIPE_R2</vt:lpstr>
      <vt:lpstr>PT_PREDICTION_EQUIPE_R3</vt:lpstr>
      <vt:lpstr>PT_PREDICTION_EQUIPE_R4</vt:lpstr>
      <vt:lpstr>PT_PREDICTION_NB_PARTIES_R1</vt:lpstr>
      <vt:lpstr>PT_PREDICTION_NB_PARTIES_R2</vt:lpstr>
      <vt:lpstr>PT_PREDICTION_NB_PARTIES_R3</vt:lpstr>
      <vt:lpstr>PT_PREDICTION_NB_PARTIES_R4</vt:lpstr>
      <vt:lpstr>PT_VICTOIRE_R1</vt:lpstr>
      <vt:lpstr>PT_VICTOIRE_R2</vt:lpstr>
      <vt:lpstr>PT_VICTOIRE_R3</vt:lpstr>
      <vt:lpstr>PT_VICTOIRE_R4</vt:lpstr>
    </vt:vector>
  </TitlesOfParts>
  <Company>Ville de 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Alexandre Levac</dc:creator>
  <cp:lastModifiedBy>r.tiefengraber</cp:lastModifiedBy>
  <cp:lastPrinted>2018-06-08T10:09:56Z</cp:lastPrinted>
  <dcterms:created xsi:type="dcterms:W3CDTF">2007-04-21T15:38:41Z</dcterms:created>
  <dcterms:modified xsi:type="dcterms:W3CDTF">2019-04-10T17:07:48Z</dcterms:modified>
</cp:coreProperties>
</file>