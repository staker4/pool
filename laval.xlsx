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8" i="16"/>
  <c r="AG58" i="16"/>
  <c r="AB58" i="16"/>
  <c r="AC98" i="16" l="1"/>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30" i="16"/>
  <c r="AG30" i="16"/>
  <c r="AB30"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H60" i="16" l="1"/>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8" i="16" l="1"/>
  <c r="AL58" i="16" s="1"/>
  <c r="C89" i="16"/>
  <c r="AK89" i="16" s="1"/>
  <c r="AK88" i="16"/>
  <c r="S74" i="16"/>
  <c r="AL74"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6" i="16"/>
  <c r="AG26" i="16"/>
  <c r="AB26" i="16"/>
  <c r="AB42" i="16"/>
  <c r="AG42" i="16"/>
  <c r="AJ50" i="16"/>
  <c r="AJ42" i="16"/>
  <c r="AJ66" i="16"/>
  <c r="AJ82" i="16"/>
  <c r="AJ14" i="16"/>
  <c r="AB66" i="16"/>
  <c r="AG66" i="16"/>
  <c r="AJ18" i="16"/>
  <c r="AJ34" i="16"/>
  <c r="AJ54" i="16"/>
  <c r="AG54" i="16"/>
  <c r="AB54" i="16"/>
  <c r="S18" i="16"/>
  <c r="S34" i="16"/>
  <c r="S54" i="16"/>
  <c r="S66" i="16"/>
  <c r="AJ86" i="16"/>
  <c r="AJ10" i="16"/>
  <c r="AJ90" i="16"/>
  <c r="AJ70" i="16"/>
  <c r="AJ62" i="16"/>
  <c r="AJ38" i="16"/>
  <c r="AG86" i="16"/>
  <c r="AB86" i="16"/>
  <c r="S50" i="16"/>
  <c r="AJ94" i="16"/>
  <c r="AJ22" i="16"/>
  <c r="AJ46" i="16"/>
  <c r="AG38" i="16"/>
  <c r="AG90" i="16"/>
  <c r="AG22" i="16"/>
  <c r="AG70" i="16"/>
  <c r="AG14" i="16"/>
  <c r="AG46" i="16"/>
  <c r="AG34" i="16"/>
  <c r="AG18" i="16"/>
  <c r="AG62" i="16"/>
  <c r="AG50" i="16"/>
  <c r="AG94" i="16"/>
  <c r="AG82" i="16"/>
  <c r="AG10" i="16"/>
  <c r="AB34" i="16"/>
  <c r="AB90" i="16"/>
  <c r="AB62" i="16"/>
  <c r="AB18" i="16"/>
  <c r="AB14" i="16"/>
  <c r="AB22" i="16"/>
  <c r="AB82" i="16"/>
  <c r="AB50" i="16"/>
  <c r="AB38" i="16"/>
  <c r="AB70" i="16"/>
  <c r="AB94" i="16"/>
  <c r="AB10" i="16"/>
  <c r="AB46" i="16"/>
  <c r="S22" i="16"/>
  <c r="S26" i="16"/>
  <c r="S42" i="16"/>
  <c r="S38" i="16"/>
  <c r="S14" i="16"/>
  <c r="S94" i="16"/>
  <c r="S86" i="16"/>
  <c r="S62" i="16"/>
  <c r="S70" i="16"/>
  <c r="S90" i="16"/>
  <c r="S46" i="16"/>
  <c r="S10" i="16"/>
  <c r="S82" i="16"/>
  <c r="AL62" i="16" l="1"/>
  <c r="AL66" i="16"/>
  <c r="AL26" i="16"/>
  <c r="AL42" i="16"/>
  <c r="AL14" i="16"/>
  <c r="AL18" i="16"/>
  <c r="AL82" i="16"/>
  <c r="AL90" i="16"/>
  <c r="AL10" i="16"/>
  <c r="AL54" i="16"/>
  <c r="AL46" i="16"/>
  <c r="AL70" i="16"/>
  <c r="AL50" i="16"/>
  <c r="AL22" i="16"/>
  <c r="AL34" i="16"/>
  <c r="AL38" i="16"/>
  <c r="AL86" i="16"/>
  <c r="AL94" i="16"/>
  <c r="AK58" i="16" l="1"/>
  <c r="A87" i="16"/>
  <c r="A58" i="16"/>
  <c r="AK74" i="16"/>
  <c r="A74" i="16"/>
  <c r="A78" i="16"/>
  <c r="A95" i="16"/>
  <c r="AK30" i="16"/>
  <c r="A30" i="16"/>
  <c r="A91" i="16"/>
  <c r="A83" i="16"/>
  <c r="AK78" i="16"/>
  <c r="A55" i="16"/>
  <c r="A79" i="16"/>
  <c r="A75" i="16"/>
  <c r="A59" i="16"/>
  <c r="A67" i="16"/>
  <c r="A71" i="16"/>
  <c r="A63" i="16"/>
  <c r="A51" i="16"/>
  <c r="A11" i="16"/>
  <c r="A10" i="16"/>
  <c r="A86" i="16"/>
  <c r="A38" i="16"/>
  <c r="A34" i="16"/>
  <c r="A90" i="16"/>
  <c r="A22" i="16"/>
  <c r="A82" i="16"/>
  <c r="A18" i="16"/>
  <c r="A14" i="16"/>
  <c r="A46" i="16"/>
  <c r="A42" i="16"/>
  <c r="A62" i="16"/>
  <c r="A50" i="16"/>
  <c r="A47" i="16"/>
  <c r="A31" i="16"/>
  <c r="A15" i="16"/>
  <c r="A43" i="16"/>
  <c r="A70" i="16"/>
  <c r="A27" i="16"/>
  <c r="A39" i="16"/>
  <c r="A23" i="16"/>
  <c r="A35" i="16"/>
  <c r="A19" i="16"/>
  <c r="A94" i="16"/>
  <c r="A54" i="16"/>
  <c r="A26" i="16"/>
  <c r="A66" i="16"/>
  <c r="AK46" i="16"/>
  <c r="AK42" i="16"/>
  <c r="AK43" i="16"/>
  <c r="AK39" i="16"/>
  <c r="AK35" i="16"/>
  <c r="AK19" i="16"/>
  <c r="AK31" i="16"/>
  <c r="AK27" i="16"/>
  <c r="AK23" i="16"/>
  <c r="AK47" i="16"/>
  <c r="AK15" i="16"/>
  <c r="AK70" i="16"/>
  <c r="AK14" i="16"/>
  <c r="AK94" i="16"/>
  <c r="AK54" i="16"/>
  <c r="AK26" i="16"/>
  <c r="AK86" i="16"/>
  <c r="AK10" i="16"/>
  <c r="AK66" i="16"/>
  <c r="AK38" i="16"/>
  <c r="AK34" i="16"/>
  <c r="AK90" i="16"/>
  <c r="AK62" i="16"/>
  <c r="AK82" i="16"/>
  <c r="AK22" i="16"/>
  <c r="AK50"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<sst xmlns="http://schemas.openxmlformats.org/spreadsheetml/2006/main" count="161" uniqueCount="86">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</sst>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4">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7"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8"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0"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3"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8" fillId="0" borderId="95"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5" xfId="0" applyFont="1" applyFill="1" applyBorder="1" applyAlignment="1"/>
    <xf numFmtId="0" fontId="5" fillId="0" borderId="95"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08" xfId="0" applyFont="1" applyFill="1" applyBorder="1" applyAlignment="1">
      <alignment vertical="center"/>
    </xf>
    <xf numFmtId="0" fontId="14" fillId="0" borderId="95" xfId="0" applyFont="1" applyFill="1" applyBorder="1" applyAlignment="1"/>
    <xf numFmtId="0" fontId="9" fillId="0" borderId="9"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5" fillId="0" borderId="94" xfId="0" applyFont="1" applyFill="1" applyBorder="1" applyAlignment="1"/>
    <xf numFmtId="0" fontId="5" fillId="0" borderId="96" xfId="0" applyFont="1" applyFill="1" applyBorder="1" applyAlignment="1"/>
    <xf numFmtId="0" fontId="5" fillId="0" borderId="97"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4" xfId="0" applyFont="1" applyFill="1" applyBorder="1" applyAlignment="1"/>
    <xf numFmtId="0" fontId="14" fillId="0" borderId="96" xfId="0" applyFont="1" applyFill="1" applyBorder="1" applyAlignment="1"/>
    <xf numFmtId="0" fontId="14" fillId="0" borderId="97" xfId="0" applyFont="1" applyFill="1" applyBorder="1" applyAlignment="1"/>
    <xf numFmtId="0" fontId="14" fillId="0" borderId="5" xfId="0" applyFont="1" applyFill="1" applyBorder="1" applyAlignment="1"/>
    <xf numFmtId="0" fontId="7" fillId="0" borderId="99"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2" fillId="7" borderId="100" xfId="0" applyFont="1" applyFill="1" applyBorder="1" applyAlignment="1">
      <alignment horizontal="center"/>
    </xf>
    <xf numFmtId="0" fontId="2" fillId="7" borderId="49" xfId="0" applyFont="1" applyFill="1" applyBorder="1" applyAlignment="1">
      <alignment horizontal="center"/>
    </xf>
    <xf numFmtId="0" fontId="1" fillId="7" borderId="77"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9" xfId="0" applyFont="1" applyFill="1" applyBorder="1" applyAlignment="1">
      <alignment horizontal="center" vertical="center"/>
    </xf>
    <xf numFmtId="0" fontId="11" fillId="0" borderId="101"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4"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3"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1" fillId="7" borderId="69"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0"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7" borderId="23"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9" fillId="0"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4" fillId="7" borderId="27" xfId="0" applyFont="1" applyFill="1" applyBorder="1" applyAlignment="1">
      <alignment horizontal="center"/>
    </xf>
    <xf numFmtId="0" fontId="19" fillId="7" borderId="44" xfId="0" applyFont="1" applyFill="1" applyBorder="1" applyAlignment="1">
      <alignment horizontal="center"/>
    </xf>
    <xf numFmtId="0" fontId="14" fillId="0" borderId="23" xfId="0" applyFont="1" applyFill="1" applyBorder="1" applyAlignment="1">
      <alignment horizontal="center"/>
    </xf>
    <xf numFmtId="0" fontId="14" fillId="7" borderId="23" xfId="0" applyFont="1" applyFill="1" applyBorder="1" applyAlignment="1">
      <alignment horizontal="center"/>
    </xf>
    <xf numFmtId="0" fontId="10" fillId="0" borderId="75" xfId="0" applyFont="1" applyBorder="1" applyAlignment="1">
      <alignment horizontal="center"/>
    </xf>
    <xf numFmtId="0" fontId="10" fillId="0" borderId="78" xfId="0" applyFont="1" applyBorder="1" applyAlignment="1">
      <alignment horizontal="center"/>
    </xf>
    <xf numFmtId="0" fontId="10" fillId="0" borderId="79" xfId="0" applyFont="1" applyBorder="1" applyAlignment="1">
      <alignment horizontal="center"/>
    </xf>
    <xf numFmtId="0" fontId="11" fillId="3" borderId="80"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11" fillId="3" borderId="112" xfId="0" applyFont="1" applyFill="1" applyBorder="1" applyAlignment="1">
      <alignment horizontal="center"/>
    </xf>
    <xf numFmtId="0" fontId="7" fillId="0" borderId="93" xfId="0" applyFont="1" applyBorder="1" applyAlignment="1">
      <alignment horizontal="center"/>
    </xf>
    <xf numFmtId="0" fontId="7" fillId="0" borderId="82" xfId="0" applyFont="1" applyBorder="1" applyAlignment="1">
      <alignment horizontal="center"/>
    </xf>
    <xf numFmtId="0" fontId="7" fillId="0" borderId="4" xfId="0" applyFont="1" applyBorder="1" applyAlignment="1">
      <alignment horizontal="center"/>
    </xf>
    <xf numFmtId="0" fontId="9" fillId="5" borderId="87"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1"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11" fillId="3" borderId="89" xfId="0" applyFont="1" applyFill="1" applyBorder="1" applyAlignment="1">
      <alignment horizontal="center"/>
    </xf>
    <xf numFmtId="0" fontId="11" fillId="3" borderId="90"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0" fontId="11" fillId="3" borderId="83"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4" xfId="0" applyBorder="1" applyAlignment="1">
      <alignment horizontal="left"/>
    </xf>
    <xf numFmtId="165" fontId="1" fillId="0" borderId="84" xfId="4" applyNumberFormat="1" applyBorder="1" applyAlignment="1">
      <alignment horizontal="center"/>
    </xf>
    <xf numFmtId="165" fontId="1" fillId="0" borderId="20" xfId="4" applyNumberFormat="1" applyBorder="1" applyAlignment="1">
      <alignment horizontal="center"/>
    </xf>
    <xf numFmtId="0" fontId="0" fillId="0" borderId="85"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3"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18" xfId="0" applyBorder="1" applyAlignment="1">
      <alignment horizontal="left"/>
    </xf>
    <xf numFmtId="1" fontId="5" fillId="0" borderId="113" xfId="0" applyNumberFormat="1" applyFont="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263">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9"/>
      <c r="D1" s="289"/>
      <c r="E1" s="289"/>
      <c r="F1" s="289"/>
      <c r="G1" s="289"/>
      <c r="H1" s="289"/>
      <c r="I1" s="289"/>
      <c r="J1" s="289"/>
      <c r="K1" s="289"/>
      <c r="L1" s="289"/>
      <c r="M1" s="289"/>
      <c r="N1" s="289"/>
      <c r="O1" s="289"/>
      <c r="P1" s="290"/>
      <c r="Q1" s="290"/>
      <c r="R1" s="290"/>
      <c r="S1" s="290"/>
      <c r="T1" s="290"/>
      <c r="U1" s="290"/>
      <c r="V1" s="290"/>
      <c r="W1" s="290"/>
      <c r="X1" s="290"/>
      <c r="Y1" s="290"/>
      <c r="Z1" s="290"/>
      <c r="AA1" s="290"/>
      <c r="AB1" s="290"/>
      <c r="AC1" s="290"/>
      <c r="AD1" s="290"/>
      <c r="AE1" s="290"/>
      <c r="AF1" s="290"/>
      <c r="AG1" s="290"/>
      <c r="AH1" s="290"/>
      <c r="AI1" s="290"/>
      <c r="AJ1" s="290"/>
    </row>
    <row r="2" spans="1:38" x14ac:dyDescent="0.2">
      <c r="A2" s="41"/>
      <c r="C2" s="291" t="s">
        <v>49</v>
      </c>
      <c r="D2" s="291"/>
      <c r="E2" s="291"/>
      <c r="F2" s="291"/>
      <c r="G2" s="291"/>
      <c r="H2" s="291"/>
      <c r="I2" s="291"/>
      <c r="J2" s="291"/>
      <c r="K2" s="291"/>
      <c r="L2" s="291"/>
      <c r="M2" s="291"/>
      <c r="N2" s="291"/>
      <c r="O2" s="291"/>
      <c r="P2" s="291"/>
      <c r="Q2" s="292" t="s">
        <v>50</v>
      </c>
      <c r="R2" s="290"/>
      <c r="S2" s="290"/>
      <c r="T2" s="290"/>
      <c r="U2" s="290"/>
      <c r="V2" s="290"/>
      <c r="W2" s="290"/>
      <c r="X2" s="290"/>
      <c r="Y2" s="290"/>
      <c r="Z2" s="290"/>
      <c r="AA2" s="290"/>
      <c r="AB2" s="290"/>
      <c r="AC2" s="290"/>
      <c r="AD2" s="290"/>
      <c r="AE2" s="290"/>
      <c r="AF2" s="290"/>
      <c r="AG2" s="290"/>
      <c r="AH2" s="290"/>
      <c r="AI2" s="290"/>
      <c r="AJ2" s="290"/>
    </row>
    <row r="3" spans="1:38" ht="6.95" customHeight="1" thickBot="1" x14ac:dyDescent="0.25">
      <c r="C3" s="289"/>
      <c r="D3" s="289"/>
      <c r="E3" s="289"/>
      <c r="F3" s="289"/>
      <c r="G3" s="289"/>
      <c r="H3" s="289"/>
      <c r="I3" s="289"/>
      <c r="J3" s="289"/>
      <c r="K3" s="289"/>
      <c r="L3" s="289"/>
      <c r="M3" s="289"/>
      <c r="N3" s="289"/>
      <c r="O3" s="289"/>
      <c r="P3" s="290"/>
      <c r="Q3" s="290"/>
      <c r="R3" s="290"/>
      <c r="S3" s="290"/>
      <c r="T3" s="290"/>
      <c r="U3" s="290"/>
      <c r="V3" s="290"/>
      <c r="W3" s="290"/>
      <c r="X3" s="290"/>
      <c r="Y3" s="290"/>
      <c r="Z3" s="290"/>
      <c r="AA3" s="290"/>
      <c r="AB3" s="290"/>
      <c r="AC3" s="290"/>
      <c r="AD3" s="290"/>
      <c r="AE3" s="290"/>
      <c r="AF3" s="290"/>
      <c r="AG3" s="290"/>
      <c r="AH3" s="290"/>
      <c r="AI3" s="290"/>
      <c r="AJ3" s="290"/>
    </row>
    <row r="4" spans="1:38" ht="13.5" thickBot="1" x14ac:dyDescent="0.25">
      <c r="C4" s="273" t="s">
        <v>0</v>
      </c>
      <c r="D4" s="274"/>
      <c r="E4" s="274"/>
      <c r="F4" s="274"/>
      <c r="G4" s="274"/>
      <c r="H4" s="274"/>
      <c r="I4" s="274"/>
      <c r="J4" s="274"/>
      <c r="K4" s="274"/>
      <c r="L4" s="274"/>
      <c r="M4" s="274"/>
      <c r="N4" s="274"/>
      <c r="O4" s="274"/>
      <c r="P4" s="274"/>
      <c r="Q4" s="274"/>
      <c r="R4" s="274"/>
      <c r="S4" s="275"/>
      <c r="T4" s="273" t="s">
        <v>1</v>
      </c>
      <c r="U4" s="274"/>
      <c r="V4" s="274"/>
      <c r="W4" s="274"/>
      <c r="X4" s="274"/>
      <c r="Y4" s="274"/>
      <c r="Z4" s="274"/>
      <c r="AA4" s="274"/>
      <c r="AB4" s="275"/>
      <c r="AC4" s="273" t="s">
        <v>2</v>
      </c>
      <c r="AD4" s="274"/>
      <c r="AE4" s="274"/>
      <c r="AF4" s="274"/>
      <c r="AG4" s="284"/>
      <c r="AH4" s="273" t="s">
        <v>10</v>
      </c>
      <c r="AI4" s="274"/>
      <c r="AJ4" s="275"/>
    </row>
    <row r="5" spans="1:38" ht="12.75" customHeight="1" x14ac:dyDescent="0.2">
      <c r="A5" s="32"/>
      <c r="B5" s="4"/>
      <c r="C5" s="285" t="s">
        <v>9</v>
      </c>
      <c r="D5" s="281"/>
      <c r="E5" s="281"/>
      <c r="F5" s="281"/>
      <c r="G5" s="281"/>
      <c r="H5" s="281"/>
      <c r="I5" s="281"/>
      <c r="J5" s="282"/>
      <c r="K5" s="280" t="s">
        <v>8</v>
      </c>
      <c r="L5" s="281"/>
      <c r="M5" s="281"/>
      <c r="N5" s="281"/>
      <c r="O5" s="281"/>
      <c r="P5" s="281"/>
      <c r="Q5" s="281"/>
      <c r="R5" s="282"/>
      <c r="S5" s="276" t="s">
        <v>12</v>
      </c>
      <c r="T5" s="285" t="s">
        <v>9</v>
      </c>
      <c r="U5" s="281"/>
      <c r="V5" s="281"/>
      <c r="W5" s="282"/>
      <c r="X5" s="280" t="s">
        <v>8</v>
      </c>
      <c r="Y5" s="281"/>
      <c r="Z5" s="281"/>
      <c r="AA5" s="282"/>
      <c r="AB5" s="276" t="s">
        <v>13</v>
      </c>
      <c r="AC5" s="283" t="s">
        <v>9</v>
      </c>
      <c r="AD5" s="282"/>
      <c r="AE5" s="280" t="s">
        <v>8</v>
      </c>
      <c r="AF5" s="282"/>
      <c r="AG5" s="276" t="s">
        <v>14</v>
      </c>
      <c r="AH5" s="56"/>
      <c r="AI5" s="25"/>
      <c r="AJ5" s="276" t="s">
        <v>15</v>
      </c>
      <c r="AK5" s="4"/>
    </row>
    <row r="6" spans="1:38" s="39" customFormat="1" ht="12.75" customHeight="1" x14ac:dyDescent="0.2">
      <c r="A6" s="38"/>
      <c r="B6" s="37"/>
      <c r="C6" s="160">
        <f>Résultats!$J$3</f>
        <v>0</v>
      </c>
      <c r="D6" s="228">
        <f>Résultats!$J$4</f>
        <v>4</v>
      </c>
      <c r="E6" s="224">
        <f>Résultats!$J$6</f>
        <v>4</v>
      </c>
      <c r="F6" s="106">
        <f>Résultats!$J$7</f>
        <v>3</v>
      </c>
      <c r="G6" s="163">
        <f>Résultats!$J$10</f>
        <v>3</v>
      </c>
      <c r="H6" s="233">
        <f>Résultats!$J$11</f>
        <v>4</v>
      </c>
      <c r="I6" s="224">
        <f>Résultats!$J$13</f>
        <v>4</v>
      </c>
      <c r="J6" s="105">
        <f>Résultats!$J$14</f>
        <v>0</v>
      </c>
      <c r="K6" s="107">
        <f>Résultats!$J$17</f>
        <v>1</v>
      </c>
      <c r="L6" s="228">
        <f>Résultats!$J$18</f>
        <v>4</v>
      </c>
      <c r="M6" s="163">
        <f>Résultats!$J$20</f>
        <v>2</v>
      </c>
      <c r="N6" s="233">
        <f>Résultats!$J$21</f>
        <v>4</v>
      </c>
      <c r="O6" s="163">
        <f>Résultats!$J$24</f>
        <v>2</v>
      </c>
      <c r="P6" s="233">
        <f>Résultats!$J$25</f>
        <v>4</v>
      </c>
      <c r="Q6" s="246">
        <f>Résultats!$J$27</f>
        <v>4</v>
      </c>
      <c r="R6" s="105">
        <f>Résultats!$J$28</f>
        <v>3</v>
      </c>
      <c r="S6" s="277"/>
      <c r="T6" s="160">
        <f>Résultats!$V$6</f>
        <v>0</v>
      </c>
      <c r="U6" s="105">
        <f>Résultats!$V$7</f>
        <v>0</v>
      </c>
      <c r="V6" s="163">
        <f>Résultats!$V$10</f>
        <v>0</v>
      </c>
      <c r="W6" s="105">
        <f>Résultats!$V$11</f>
        <v>0</v>
      </c>
      <c r="X6" s="107">
        <f>Résultats!$V$20</f>
        <v>0</v>
      </c>
      <c r="Y6" s="106">
        <f>Résultats!$V$21</f>
        <v>0</v>
      </c>
      <c r="Z6" s="108">
        <f>Résultats!$V$24</f>
        <v>0</v>
      </c>
      <c r="AA6" s="105">
        <f>Résultats!$V$25</f>
        <v>0</v>
      </c>
      <c r="AB6" s="277"/>
      <c r="AC6" s="108">
        <f>Résultats!$AH$8</f>
        <v>0</v>
      </c>
      <c r="AD6" s="105">
        <f>Résultats!$AH$9</f>
        <v>0</v>
      </c>
      <c r="AE6" s="107">
        <f>Résultats!$AH$22</f>
        <v>0</v>
      </c>
      <c r="AF6" s="105">
        <f>Résultats!$AH$23</f>
        <v>0</v>
      </c>
      <c r="AG6" s="277"/>
      <c r="AH6" s="202">
        <f>Résultats!$AH$15</f>
        <v>0</v>
      </c>
      <c r="AI6" s="109">
        <f>Résultats!$AH$16</f>
        <v>0</v>
      </c>
      <c r="AJ6" s="277"/>
      <c r="AK6" s="37"/>
    </row>
    <row r="7" spans="1:38" s="39" customFormat="1" ht="58.5" hidden="1" customHeight="1" x14ac:dyDescent="0.2">
      <c r="A7" s="38"/>
      <c r="B7" s="37"/>
      <c r="C7" s="161">
        <f>IF(ISBLANK($C10),0,($C$6*PT_VICTOIRE_R1)+IF($C$6=4,PT_PREDICTION_EQUIPE_R1+IF($C10=$C$6+$D$6,PT_PREDICTION_NB_PARTIES_R1,0),0))
+IF(ISBLANK($D10),0,($D$6*PT_VICTOIRE_R1)+IF($D$6=4,PT_PREDICTION_EQUIPE_R1+IF($D10=$C$6+$D$6,PT_PREDICTION_NB_PARTIES_R1,0),0))</f>
        <v>0</v>
      </c>
      <c r="D7" s="229"/>
      <c r="E7" s="225"/>
      <c r="F7" s="115"/>
      <c r="G7" s="116"/>
      <c r="H7" s="229"/>
      <c r="I7" s="225"/>
      <c r="J7" s="114"/>
      <c r="K7" s="117"/>
      <c r="L7" s="229"/>
      <c r="M7" s="164"/>
      <c r="N7" s="234"/>
      <c r="O7" s="164"/>
      <c r="P7" s="234"/>
      <c r="Q7" s="247"/>
      <c r="R7" s="114"/>
      <c r="S7" s="277"/>
      <c r="T7" s="161"/>
      <c r="U7" s="114"/>
      <c r="V7" s="164"/>
      <c r="W7" s="114"/>
      <c r="X7" s="117"/>
      <c r="Y7" s="115"/>
      <c r="Z7" s="116"/>
      <c r="AA7" s="114"/>
      <c r="AB7" s="277"/>
      <c r="AC7" s="116"/>
      <c r="AD7" s="114"/>
      <c r="AE7" s="117"/>
      <c r="AF7" s="114"/>
      <c r="AG7" s="277"/>
      <c r="AH7" s="202"/>
      <c r="AI7" s="109"/>
      <c r="AJ7" s="277"/>
      <c r="AK7" s="37"/>
    </row>
    <row r="8" spans="1:38" s="39" customFormat="1" ht="77.25" customHeight="1" thickBot="1" x14ac:dyDescent="0.25">
      <c r="A8" s="38"/>
      <c r="B8" s="37"/>
      <c r="C8" s="162" t="str">
        <f>Résultats!$B$3</f>
        <v>TAMPA BAY</v>
      </c>
      <c r="D8" s="230" t="str">
        <f>Résultats!$B$4</f>
        <v>COLUMBUS</v>
      </c>
      <c r="E8" s="226" t="str">
        <f>Résultats!$B$6</f>
        <v>BOSTON</v>
      </c>
      <c r="F8" s="167" t="str">
        <f>Résultats!$B$7</f>
        <v>TORONTO</v>
      </c>
      <c r="G8" s="168" t="str">
        <f>Résultats!$B$10</f>
        <v>WASHINGTON</v>
      </c>
      <c r="H8" s="230" t="str">
        <f>Résultats!$B$11</f>
        <v>CAROLINE</v>
      </c>
      <c r="I8" s="226" t="str">
        <f>Résultats!$B$13</f>
        <v>NEW YORK I.</v>
      </c>
      <c r="J8" s="165" t="str">
        <f>Résultats!$B$14</f>
        <v>PITTSBURGH</v>
      </c>
      <c r="K8" s="169" t="str">
        <f>Résultats!$B$17</f>
        <v>CALGARY</v>
      </c>
      <c r="L8" s="230" t="str">
        <f>Résultats!$B$18</f>
        <v>COLORADO</v>
      </c>
      <c r="M8" s="166" t="str">
        <f>Résultats!$B$20</f>
        <v>WINNIPEG</v>
      </c>
      <c r="N8" s="235" t="str">
        <f>Résultats!$B$21</f>
        <v>ST-LOUIS</v>
      </c>
      <c r="O8" s="166" t="str">
        <f>Résultats!$B$24</f>
        <v>NASHVILLE</v>
      </c>
      <c r="P8" s="235" t="str">
        <f>Résultats!$B$25</f>
        <v>DALLAS</v>
      </c>
      <c r="Q8" s="248" t="str">
        <f>Résultats!$B$27</f>
        <v>SAN JOSE</v>
      </c>
      <c r="R8" s="165" t="str">
        <f>Résultats!$B$28</f>
        <v>VEGAS</v>
      </c>
      <c r="S8" s="277"/>
      <c r="T8" s="162" t="str">
        <f>Résultats!$N$6</f>
        <v>BOSTON</v>
      </c>
      <c r="U8" s="165" t="str">
        <f>Résultats!$N$7</f>
        <v>COLUMBUS</v>
      </c>
      <c r="V8" s="166" t="str">
        <f>Résultats!$N$10</f>
        <v>NEW YORK I.</v>
      </c>
      <c r="W8" s="165" t="str">
        <f>Résultats!$N$11</f>
        <v>CAROLINE</v>
      </c>
      <c r="X8" s="169" t="str">
        <f>Résultats!$N$20</f>
        <v>SAN JOSE</v>
      </c>
      <c r="Y8" s="167" t="str">
        <f>Résultats!$N$21</f>
        <v>COLORADO</v>
      </c>
      <c r="Z8" s="168" t="str">
        <f>Résultats!$N$24</f>
        <v>ST-LOUIS</v>
      </c>
      <c r="AA8" s="165" t="str">
        <f>Résultats!$N$25</f>
        <v>DALLAS</v>
      </c>
      <c r="AB8" s="277"/>
      <c r="AC8" s="168" t="str">
        <f>Résultats!$Z$8</f>
        <v xml:space="preserve"> </v>
      </c>
      <c r="AD8" s="165" t="str">
        <f>Résultats!$Z$9</f>
        <v xml:space="preserve"> </v>
      </c>
      <c r="AE8" s="169" t="str">
        <f>Résultats!$Z$22</f>
        <v xml:space="preserve">  </v>
      </c>
      <c r="AF8" s="165" t="str">
        <f>Résultats!$Z$23</f>
        <v xml:space="preserve"> </v>
      </c>
      <c r="AG8" s="277"/>
      <c r="AH8" s="203" t="str">
        <f>Résultats!$Z$15</f>
        <v xml:space="preserve"> </v>
      </c>
      <c r="AI8" s="204" t="str">
        <f>Résultats!$Z$16</f>
        <v xml:space="preserve"> </v>
      </c>
      <c r="AJ8" s="277"/>
      <c r="AK8" s="37"/>
    </row>
    <row r="9" spans="1:38" s="39" customFormat="1" ht="22.5" customHeight="1" thickBot="1" x14ac:dyDescent="0.25">
      <c r="A9" s="42" t="s">
        <v>7</v>
      </c>
      <c r="B9" s="40" t="s">
        <v>11</v>
      </c>
      <c r="C9" s="170" t="str">
        <f>Résultats!$A$3</f>
        <v>A1</v>
      </c>
      <c r="D9" s="231" t="str">
        <f>Résultats!$A$4</f>
        <v>WC2</v>
      </c>
      <c r="E9" s="227" t="str">
        <f>Résultats!$A$6</f>
        <v>A2</v>
      </c>
      <c r="F9" s="173" t="str">
        <f>Résultats!$A$7</f>
        <v>A3</v>
      </c>
      <c r="G9" s="174" t="str">
        <f>Résultats!$A$10</f>
        <v>M1</v>
      </c>
      <c r="H9" s="231" t="str">
        <f>Résultats!$A$11</f>
        <v>WC1</v>
      </c>
      <c r="I9" s="227" t="str">
        <f>Résultats!$A$13</f>
        <v>M2</v>
      </c>
      <c r="J9" s="171" t="str">
        <f>Résultats!$A$14</f>
        <v>M3</v>
      </c>
      <c r="K9" s="175" t="str">
        <f>Résultats!$A$17</f>
        <v>C1</v>
      </c>
      <c r="L9" s="231" t="str">
        <f>Résultats!$A$18</f>
        <v>WC2</v>
      </c>
      <c r="M9" s="172" t="str">
        <f>Résultats!$A$20</f>
        <v>C2</v>
      </c>
      <c r="N9" s="236" t="str">
        <f>Résultats!$A$21</f>
        <v>C3</v>
      </c>
      <c r="O9" s="172" t="str">
        <f>Résultats!$A$24</f>
        <v>P1</v>
      </c>
      <c r="P9" s="236" t="str">
        <f>Résultats!$A$25</f>
        <v>WC1</v>
      </c>
      <c r="Q9" s="249" t="str">
        <f>Résultats!$A$27</f>
        <v>P2</v>
      </c>
      <c r="R9" s="176" t="str">
        <f>Résultats!$A$28</f>
        <v>P3</v>
      </c>
      <c r="S9" s="279"/>
      <c r="T9" s="170" t="str">
        <f>Résultats!$M$6</f>
        <v>A2</v>
      </c>
      <c r="U9" s="171" t="str">
        <f>Résultats!$M$7</f>
        <v>WC2</v>
      </c>
      <c r="V9" s="172" t="str">
        <f>Résultats!$M$10</f>
        <v>M2</v>
      </c>
      <c r="W9" s="171" t="str">
        <f>Résultats!$M$11</f>
        <v>WC1</v>
      </c>
      <c r="X9" s="175" t="str">
        <f>Résultats!$M$20</f>
        <v>P2</v>
      </c>
      <c r="Y9" s="173" t="str">
        <f>Résultats!$M$21</f>
        <v>WC2</v>
      </c>
      <c r="Z9" s="174" t="str">
        <f>Résultats!$M$24</f>
        <v>C3</v>
      </c>
      <c r="AA9" s="176" t="str">
        <f>Résultats!$M$25</f>
        <v>WC1</v>
      </c>
      <c r="AB9" s="278"/>
      <c r="AC9" s="174" t="str">
        <f>Résultats!$Y$8</f>
        <v xml:space="preserve"> </v>
      </c>
      <c r="AD9" s="171" t="str">
        <f>Résultats!$Y$9</f>
        <v xml:space="preserve"> </v>
      </c>
      <c r="AE9" s="175" t="str">
        <f>Résultats!$Y$22</f>
        <v xml:space="preserve"> </v>
      </c>
      <c r="AF9" s="171" t="str">
        <f>Résultats!$Y$23</f>
        <v xml:space="preserve">  </v>
      </c>
      <c r="AG9" s="278"/>
      <c r="AH9" s="205" t="str">
        <f>Résultats!$Y$15</f>
        <v xml:space="preserve"> </v>
      </c>
      <c r="AI9" s="206" t="str">
        <f>Résultats!$Y$16</f>
        <v xml:space="preserve"> </v>
      </c>
      <c r="AJ9" s="279"/>
      <c r="AK9" s="111" t="s">
        <v>51</v>
      </c>
      <c r="AL9" s="110" t="s">
        <v>3</v>
      </c>
    </row>
    <row r="10" spans="1:38" ht="12.75" customHeight="1" thickTop="1" x14ac:dyDescent="0.2">
      <c r="A10" s="177">
        <f>RANK(AL10,$AL$10:$AL$97,)</f>
        <v>1</v>
      </c>
      <c r="B10" s="201" t="s">
        <v>72</v>
      </c>
      <c r="C10" s="178">
        <v>4</v>
      </c>
      <c r="D10" s="179"/>
      <c r="E10" s="182">
        <v>5</v>
      </c>
      <c r="F10" s="179"/>
      <c r="G10" s="183">
        <v>6</v>
      </c>
      <c r="H10" s="180"/>
      <c r="I10" s="182">
        <v>7</v>
      </c>
      <c r="J10" s="180"/>
      <c r="K10" s="181">
        <v>5</v>
      </c>
      <c r="L10" s="180"/>
      <c r="M10" s="182"/>
      <c r="N10" s="179">
        <v>7</v>
      </c>
      <c r="O10" s="182">
        <v>6</v>
      </c>
      <c r="P10" s="179"/>
      <c r="Q10" s="254">
        <v>7</v>
      </c>
      <c r="R10" s="184"/>
      <c r="S10" s="185">
        <f>SUM(C11:R11)</f>
        <v>44</v>
      </c>
      <c r="T10" s="178"/>
      <c r="U10" s="180">
        <v>6</v>
      </c>
      <c r="V10" s="182">
        <v>6</v>
      </c>
      <c r="W10" s="180"/>
      <c r="X10" s="181"/>
      <c r="Y10" s="179">
        <v>6</v>
      </c>
      <c r="Z10" s="183">
        <v>6</v>
      </c>
      <c r="AA10" s="184"/>
      <c r="AB10" s="185">
        <f>SUM(T11:AA11)</f>
        <v>0</v>
      </c>
      <c r="AC10" s="183"/>
      <c r="AD10" s="180"/>
      <c r="AE10" s="181"/>
      <c r="AF10" s="180"/>
      <c r="AG10" s="185">
        <f>SUM(AC11:AF11)</f>
        <v>0</v>
      </c>
      <c r="AH10" s="186"/>
      <c r="AI10" s="187"/>
      <c r="AJ10" s="185">
        <f>AH11</f>
        <v>0</v>
      </c>
      <c r="AK10" s="188">
        <f>MAX($AL$10:$AL$97) - AL10</f>
        <v>0</v>
      </c>
      <c r="AL10" s="185">
        <f>$S10+$AB10+$AG10+$AJ10</f>
        <v>44</v>
      </c>
    </row>
    <row r="11" spans="1:38" s="27" customFormat="1" hidden="1" x14ac:dyDescent="0.2">
      <c r="A11" s="119" t="e">
        <f>RANK(AL11,$AL$10:$AL$97,)</f>
        <v>#N/A</v>
      </c>
      <c r="B11" s="100"/>
      <c r="C11" s="128">
        <f>(IF($C10&lt;&gt;"",($C$6*$O$104)+IF($C$6=4,($O$102)+IF($C10=$C$6+$D$6,$O$103,0),0),0)+IF($D10&lt;&gt;"",($D$6*$O$104)+IF($D$6=4,($O$102)+IF($D10=$C$6+$D$6,$O$103,0),0),0))</f>
        <v>0</v>
      </c>
      <c r="D11" s="129"/>
      <c r="E11" s="127">
        <f>(IF($E10&lt;&gt;"",($E$6*$O$104)+IF($E$6=4,($O$102)+IF($E10=$E$6+$F$6,$O$103,0),0),0)+IF($F10&lt;&gt;"",($F$6*$O$104)+IF($F$6=4,($O$102)+IF($F10=$E$6+$F$6,$O$103,0),0),0))</f>
        <v>9</v>
      </c>
      <c r="F11" s="129"/>
      <c r="G11" s="127">
        <f>(IF($G10&lt;&gt;"",($G$6*$O$104)+IF($G$6=4,($O$102)+IF($G10=$G$6+$H$6,$O$103,0),0),0)+IF($H10&lt;&gt;"",($H$6*$O$104)+IF($H$6=4,($O$102)+IF($H10=$G$6+$H$6,$O$103,0),0),0))</f>
        <v>3</v>
      </c>
      <c r="H11" s="129"/>
      <c r="I11" s="130">
        <f>(IF($I10&lt;&gt;"",($I$6*$O$104)+IF($I$6=4,($O$102)+IF($I10=$I$6+$J$6,$O$103,0),0),0)+IF($J10&lt;&gt;"",($J$6*$O$104)+IF($J$6=4,($O$102)+IF($J10=$I$6+$J$6,$O$103,0),0),0))</f>
        <v>9</v>
      </c>
      <c r="J11" s="131"/>
      <c r="K11" s="132">
        <f>(IF($K10&lt;&gt;"",($K$6*$O$104)+IF($K$6=4,($O$102)+IF($K10=$K$6+$L$6,$O$103,0),0),0)+IF($L10&lt;&gt;"",($L$6*$O$104)+IF($L$6=4,($O$102)+IF($L10=$K$6+$L$6,$O$103,0),0),0))</f>
        <v>1</v>
      </c>
      <c r="L11" s="129"/>
      <c r="M11" s="127">
        <f>(IF($M10&lt;&gt;"",($M$6*$O$104)+IF($M$6=4,($O$102)+IF($M10=$M$6+$N$6,$O$103,0),0),0)+IF($N10&lt;&gt;"",($N$6*$O$104)+IF($N$6=4,($O$102)+IF($N10=$M$6+$N$6,$O$103,0),0),0))</f>
        <v>9</v>
      </c>
      <c r="N11" s="129"/>
      <c r="O11" s="130">
        <f>(IF($O10&lt;&gt;"",($O$6*$O$104)+IF($O$6=4,($O$102)+IF($O10=$O$6+$P$6,$O$103,0),0),0)+IF($P10&lt;&gt;"",($P$6*$O$104)+IF($P$6=4,($O$102)+IF($P10=$O$6+$P$6,$O$103,0),0),0))</f>
        <v>2</v>
      </c>
      <c r="P11" s="129"/>
      <c r="Q11" s="127">
        <f>(IF($Q10&lt;&gt;"",($Q$6*$O$104)+IF($Q$6=4,($O$102)+IF($Q10=$Q$6+$R$6,$O$103,0),0),0)+IF($R10&lt;&gt;"",($R$6*$O$104)+IF($R$6=4,($O$102)+IF($R10=$Q$6+$R$6,$O$103,0),0),0))</f>
        <v>11</v>
      </c>
      <c r="R11" s="133"/>
      <c r="S11" s="123"/>
      <c r="T11" s="59"/>
      <c r="U11" s="60"/>
      <c r="V11" s="61"/>
      <c r="W11" s="62"/>
      <c r="X11" s="63"/>
      <c r="Y11" s="60"/>
      <c r="Z11" s="61"/>
      <c r="AA11" s="64"/>
      <c r="AB11" s="123"/>
      <c r="AC11" s="140"/>
      <c r="AD11" s="137"/>
      <c r="AE11" s="138"/>
      <c r="AF11" s="140"/>
      <c r="AG11" s="123"/>
      <c r="AH11" s="134"/>
      <c r="AI11" s="139"/>
      <c r="AJ11" s="123"/>
      <c r="AK11" s="112"/>
      <c r="AL11" s="123"/>
    </row>
    <row r="12" spans="1:38" s="27" customFormat="1" hidden="1" x14ac:dyDescent="0.2">
      <c r="A12" s="101"/>
      <c r="B12" s="126" t="s">
        <v>52</v>
      </c>
      <c r="C12" s="120">
        <f>IF(ISBLANK(C10),
0,
IF(C$6= 4, 1, 0))</f>
        <v>0</v>
      </c>
      <c r="D12" s="120">
        <f>IF(ISBLANK(D10),
0,
IF(D$6 = 4, 1, 0))</f>
        <v>0</v>
      </c>
      <c r="E12" s="120">
        <f>IF(ISBLANK(E10),
0,
IF(E$6= 4, 1, 0))</f>
        <v>1</v>
      </c>
      <c r="F12" s="120">
        <f>IF(ISBLANK(F10),
0,
IF(F$6 = 4, 1, 0))</f>
        <v>0</v>
      </c>
      <c r="G12" s="120">
        <f>IF(ISBLANK(G10),
0,
IF(G$6= 4, 1, 0))</f>
        <v>0</v>
      </c>
      <c r="H12" s="120">
        <f>IF(ISBLANK(H10),
0,
IF(H$6 = 4, 1, 0))</f>
        <v>0</v>
      </c>
      <c r="I12" s="120">
        <f>IF(ISBLANK(I10),
0,
IF(I$6= 4, 1, 0))</f>
        <v>1</v>
      </c>
      <c r="J12" s="120">
        <f>IF(ISBLANK(J10),
0,
IF(J$6 = 4, 1, 0))</f>
        <v>0</v>
      </c>
      <c r="K12" s="120">
        <f>IF(ISBLANK(K10),
0,
IF(K$6= 4, 1, 0))</f>
        <v>0</v>
      </c>
      <c r="L12" s="120">
        <f>IF(ISBLANK(L10),
0,
IF(L$6 = 4, 1, 0))</f>
        <v>0</v>
      </c>
      <c r="M12" s="120">
        <f>IF(ISBLANK(M10),
0,
IF(M$6= 4, 1, 0))</f>
        <v>0</v>
      </c>
      <c r="N12" s="120">
        <f>IF(ISBLANK(N10),
0,
IF(N$6 = 4, 1, 0))</f>
        <v>1</v>
      </c>
      <c r="O12" s="120">
        <f>IF(ISBLANK(O10),
0,
IF(O$6= 4, 1, 0))</f>
        <v>0</v>
      </c>
      <c r="P12" s="120">
        <f>IF(ISBLANK(P10),
0,
IF(P$6 = 4, 1, 0))</f>
        <v>0</v>
      </c>
      <c r="Q12" s="141">
        <f>IF(ISBLANK(Q10),
0,
IF(Q$6= 4, 1, 0))</f>
        <v>1</v>
      </c>
      <c r="R12" s="120">
        <f>IF(ISBLANK(R10),
0,
IF(R$6 = 4, 1, 0))</f>
        <v>0</v>
      </c>
      <c r="S12" s="142"/>
      <c r="T12" s="77"/>
      <c r="U12" s="77"/>
      <c r="V12" s="77"/>
      <c r="W12" s="77"/>
      <c r="X12" s="77"/>
      <c r="Y12" s="77"/>
      <c r="Z12" s="77"/>
      <c r="AA12" s="77"/>
      <c r="AB12" s="142"/>
      <c r="AC12" s="120"/>
      <c r="AD12" s="120"/>
      <c r="AE12" s="120"/>
      <c r="AF12" s="120"/>
      <c r="AG12" s="142"/>
      <c r="AH12" s="120"/>
      <c r="AI12" s="120"/>
      <c r="AJ12" s="142"/>
      <c r="AK12" s="143">
        <f>SUM(C12:AI12)</f>
        <v>4</v>
      </c>
      <c r="AL12" s="125"/>
    </row>
    <row r="13" spans="1:38" s="27" customFormat="1" hidden="1" x14ac:dyDescent="0.2">
      <c r="A13" s="101"/>
      <c r="B13" s="126" t="s">
        <v>53</v>
      </c>
      <c r="C13" s="120">
        <f>IF(C12 = 0,
0,
IF(C10 = (C$6+D$6),1,0))</f>
        <v>0</v>
      </c>
      <c r="D13" s="120">
        <f>IF(D12 = 0,
0,
IF(D10 = (C$6+D$6),1,0))</f>
        <v>0</v>
      </c>
      <c r="E13" s="120">
        <f>IF(E12 = 0,
0,
IF(E10 = (E$6+F$6),1,0))</f>
        <v>0</v>
      </c>
      <c r="F13" s="120">
        <f>IF(F12 = 0,
0,
IF(F10 = (E$6+F$6),1,0))</f>
        <v>0</v>
      </c>
      <c r="G13" s="120">
        <f>IF(G12 = 0,
0,
IF(G10 = (G$6+H$6),1,0))</f>
        <v>0</v>
      </c>
      <c r="H13" s="120">
        <f>IF(H12 = 0,
0,
IF(H10 = (G$6+H$6),1,0))</f>
        <v>0</v>
      </c>
      <c r="I13" s="120">
        <f>IF(I12 = 0,
0,
IF(I10 = (I$6+J$6),1,0))</f>
        <v>0</v>
      </c>
      <c r="J13" s="120">
        <f>IF(J12 = 0,
0,
IF(J10 = (I$6+J$6),1,0))</f>
        <v>0</v>
      </c>
      <c r="K13" s="120">
        <f>IF(K12 = 0,
0,
IF(K10 = (K$6+L$6),1,0))</f>
        <v>0</v>
      </c>
      <c r="L13" s="120">
        <f>IF(L12 = 0,
0,
IF(L10 = (K$6+L$6),1,0))</f>
        <v>0</v>
      </c>
      <c r="M13" s="120">
        <f>IF(M12 = 0,
0,
IF(M10 = (M$6+N$6),1,0))</f>
        <v>0</v>
      </c>
      <c r="N13" s="120">
        <f>IF(N12 = 0,
0,
IF(N10 = (M$6+N$6),1,0))</f>
        <v>0</v>
      </c>
      <c r="O13" s="120">
        <f>IF(O12 = 0,
0,
IF(O10 = (O$6+P$6),1,0))</f>
        <v>0</v>
      </c>
      <c r="P13" s="120">
        <f>IF(P12 = 0,
0,
IF(P10 = (O$6+P$6),1,0))</f>
        <v>0</v>
      </c>
      <c r="Q13" s="141">
        <f>IF(Q12 = 0,
0,
IF(Q10 = (Q$6+R$6),1,0))</f>
        <v>1</v>
      </c>
      <c r="R13" s="120">
        <f>IF(R12 = 0,
0,
IF(R10 = (Q$6+R$6),1,0))</f>
        <v>0</v>
      </c>
      <c r="S13" s="142"/>
      <c r="T13" s="77"/>
      <c r="U13" s="77"/>
      <c r="V13" s="77"/>
      <c r="W13" s="77"/>
      <c r="X13" s="77"/>
      <c r="Y13" s="77"/>
      <c r="Z13" s="77"/>
      <c r="AA13" s="77"/>
      <c r="AB13" s="142"/>
      <c r="AC13" s="120"/>
      <c r="AD13" s="120"/>
      <c r="AE13" s="120"/>
      <c r="AF13" s="120"/>
      <c r="AG13" s="142"/>
      <c r="AH13" s="120"/>
      <c r="AI13" s="120"/>
      <c r="AJ13" s="142"/>
      <c r="AK13" s="143">
        <f>SUM(C13:AI13)</f>
        <v>1</v>
      </c>
      <c r="AL13" s="125"/>
    </row>
    <row r="14" spans="1:38" ht="12.75" customHeight="1" x14ac:dyDescent="0.2">
      <c r="A14" s="119">
        <f>RANK(AL14,$AL$10:$AL$97,)</f>
        <v>2</v>
      </c>
      <c r="B14" s="86" t="s">
        <v>77</v>
      </c>
      <c r="C14" s="46">
        <v>5</v>
      </c>
      <c r="D14" s="45"/>
      <c r="E14" s="44">
        <v>6</v>
      </c>
      <c r="F14" s="45"/>
      <c r="G14" s="48"/>
      <c r="H14" s="262">
        <v>7</v>
      </c>
      <c r="I14" s="44"/>
      <c r="J14" s="47">
        <v>6</v>
      </c>
      <c r="K14" s="49">
        <v>5</v>
      </c>
      <c r="L14" s="47"/>
      <c r="M14" s="44"/>
      <c r="N14" s="252">
        <v>6</v>
      </c>
      <c r="O14" s="44">
        <v>6</v>
      </c>
      <c r="P14" s="45"/>
      <c r="Q14" s="48">
        <v>6</v>
      </c>
      <c r="R14" s="50"/>
      <c r="S14" s="124">
        <f>SUM(C15:R15)</f>
        <v>43</v>
      </c>
      <c r="T14" s="46"/>
      <c r="U14" s="47">
        <v>6</v>
      </c>
      <c r="V14" s="44">
        <v>6</v>
      </c>
      <c r="W14" s="47"/>
      <c r="X14" s="49">
        <v>5</v>
      </c>
      <c r="Y14" s="45"/>
      <c r="Z14" s="48"/>
      <c r="AA14" s="50">
        <v>7</v>
      </c>
      <c r="AB14" s="124">
        <f>SUM(T15:AA15)</f>
        <v>0</v>
      </c>
      <c r="AC14" s="48"/>
      <c r="AD14" s="47"/>
      <c r="AE14" s="49"/>
      <c r="AF14" s="47"/>
      <c r="AG14" s="124">
        <f>SUM(AC15:AF15)</f>
        <v>0</v>
      </c>
      <c r="AH14" s="76"/>
      <c r="AI14" s="58"/>
      <c r="AJ14" s="124">
        <f>AH15</f>
        <v>0</v>
      </c>
      <c r="AK14" s="113">
        <f>MAX($AL$10:$AL$97) - AL14</f>
        <v>1</v>
      </c>
      <c r="AL14" s="124">
        <f>$S14+$AB14+$AG14+$AJ14</f>
        <v>43</v>
      </c>
    </row>
    <row r="15" spans="1:38" s="27" customFormat="1" ht="12.75" hidden="1" customHeight="1" x14ac:dyDescent="0.2">
      <c r="A15" s="119" t="e">
        <f>RANK(AL15,$AL$10:$AL$97,)</f>
        <v>#N/A</v>
      </c>
      <c r="B15" s="100"/>
      <c r="C15" s="120">
        <f>(IF($C14&lt;&gt;"",($C$6*$O$104)+IF($C$6=4,($O$102)+IF($C14=$C$6+$D$6,$O$103,0),0),0)+IF($D14&lt;&gt;"",($D$6*$O$104)+IF($D$6=4,($O$102)+IF($D14=$C$6+$D$6,$O$103,0),0),0))</f>
        <v>0</v>
      </c>
      <c r="D15" s="144"/>
      <c r="E15" s="127">
        <f>(IF($E14&lt;&gt;"",($E$6*$O$104)+IF($E$6=4,($O$102)+IF($E14=$E$6+$F$6,$O$103,0),0),0)+IF($F14&lt;&gt;"",($F$6*$O$104)+IF($F$6=4,($O$102)+IF($F14=$E$6+$F$6,$O$103,0),0),0))</f>
        <v>9</v>
      </c>
      <c r="F15" s="144"/>
      <c r="G15" s="127">
        <f>(IF($G14&lt;&gt;"",($G$6*$O$104)+IF($G$6=4,($O$102)+IF($G14=$G$6+$H$6,$O$103,0),0),0)+IF($H14&lt;&gt;"",($H$6*$O$104)+IF($H$6=4,($O$102)+IF($H14=$G$6+$H$6,$O$103,0),0),0))</f>
        <v>11</v>
      </c>
      <c r="H15" s="144"/>
      <c r="I15" s="122">
        <f>(IF($I14&lt;&gt;"",($I$6*$O$104)+IF($I$6=4,($O$102)+IF($I14=$I$6+$J$6,$O$103,0),0),0)+IF($J14&lt;&gt;"",($J$6*$O$104)+IF($J$6=4,($O$102)+IF($J14=$I$6+$J$6,$O$103,0),0),0))</f>
        <v>0</v>
      </c>
      <c r="J15" s="145"/>
      <c r="K15" s="146">
        <f>(IF($K14&lt;&gt;"",($K$6*$O$104)+IF($K$6=4,($O$102)+IF($K14=$K$6+$L$6,$O$103,0),0),0)+IF($L14&lt;&gt;"",($L$6*$O$104)+IF($L$6=4,($O$102)+IF($L14=$K$6+$L$6,$O$103,0),0),0))</f>
        <v>1</v>
      </c>
      <c r="L15" s="144"/>
      <c r="M15" s="127">
        <f>(IF($M14&lt;&gt;"",($M$6*$O$104)+IF($M$6=4,($O$102)+IF($M14=$M$6+$N$6,$O$103,0),0),0)+IF($N14&lt;&gt;"",($N$6*$O$104)+IF($N$6=4,($O$102)+IF($N14=$M$6+$N$6,$O$103,0),0),0))</f>
        <v>11</v>
      </c>
      <c r="N15" s="144"/>
      <c r="O15" s="122">
        <f>(IF($O14&lt;&gt;"",($O$6*$O$104)+IF($O$6=4,($O$102)+IF($O14=$O$6+$P$6,$O$103,0),0),0)+IF($P14&lt;&gt;"",($P$6*$O$104)+IF($P$6=4,($O$102)+IF($P14=$O$6+$P$6,$O$103,0),0),0))</f>
        <v>2</v>
      </c>
      <c r="P15" s="144"/>
      <c r="Q15" s="122">
        <f>(IF($Q14&lt;&gt;"",($Q$6*$O$104)+IF($Q$6=4,($O$102)+IF($Q14=$Q$6+$R$6,$O$103,0),0),0)+IF($R14&lt;&gt;"",($R$6*$O$104)+IF($R$6=4,($O$102)+IF($R14=$Q$6+$R$6,$O$103,0),0),0))</f>
        <v>9</v>
      </c>
      <c r="R15" s="147"/>
      <c r="S15" s="148"/>
      <c r="T15" s="59"/>
      <c r="U15" s="60"/>
      <c r="V15" s="61"/>
      <c r="W15" s="62"/>
      <c r="X15" s="63"/>
      <c r="Y15" s="60"/>
      <c r="Z15" s="61"/>
      <c r="AA15" s="64"/>
      <c r="AB15" s="148"/>
      <c r="AC15" s="153"/>
      <c r="AD15" s="150"/>
      <c r="AE15" s="151"/>
      <c r="AF15" s="153"/>
      <c r="AG15" s="148"/>
      <c r="AH15" s="149"/>
      <c r="AI15" s="152"/>
      <c r="AJ15" s="123"/>
      <c r="AK15" s="94">
        <f>MAX($AL$10:$AL$97) - AL15</f>
        <v>44</v>
      </c>
      <c r="AL15" s="123"/>
    </row>
    <row r="16" spans="1:38" s="27" customFormat="1" ht="12.75" hidden="1" customHeight="1" x14ac:dyDescent="0.2">
      <c r="A16" s="101"/>
      <c r="B16" s="126" t="s">
        <v>52</v>
      </c>
      <c r="C16" s="120">
        <f>IF(ISBLANK(C14),
0,
IF(C$6= 4, 1, 0))</f>
        <v>0</v>
      </c>
      <c r="D16" s="120">
        <f>IF(ISBLANK(D14),
0,
IF(D$6 = 4, 1, 0))</f>
        <v>0</v>
      </c>
      <c r="E16" s="141">
        <f>IF(ISBLANK(E14),
0,
IF(E$6= 4, 1, 0))</f>
        <v>1</v>
      </c>
      <c r="F16" s="120">
        <f>IF(ISBLANK(F14),
0,
IF(F$6 = 4, 1, 0))</f>
        <v>0</v>
      </c>
      <c r="G16" s="120">
        <f>IF(ISBLANK(G14),
0,
IF(G$6= 4, 1, 0))</f>
        <v>0</v>
      </c>
      <c r="H16" s="120">
        <f>IF(ISBLANK(H14),
0,
IF(H$6 = 4, 1, 0))</f>
        <v>1</v>
      </c>
      <c r="I16" s="120">
        <f>IF(ISBLANK(I14),
0,
IF(I$6= 4, 1, 0))</f>
        <v>0</v>
      </c>
      <c r="J16" s="120">
        <f>IF(ISBLANK(J14),
0,
IF(J$6 = 4, 1, 0))</f>
        <v>0</v>
      </c>
      <c r="K16" s="120">
        <f>IF(ISBLANK(K14),
0,
IF(K$6= 4, 1, 0))</f>
        <v>0</v>
      </c>
      <c r="L16" s="120">
        <f>IF(ISBLANK(L14),
0,
IF(L$6 = 4, 1, 0))</f>
        <v>0</v>
      </c>
      <c r="M16" s="120">
        <f>IF(ISBLANK(M14),
0,
IF(M$6= 4, 1, 0))</f>
        <v>0</v>
      </c>
      <c r="N16" s="120">
        <f>IF(ISBLANK(N14),
0,
IF(N$6 = 4, 1, 0))</f>
        <v>1</v>
      </c>
      <c r="O16" s="120">
        <f>IF(ISBLANK(O14),
0,
IF(O$6= 4, 1, 0))</f>
        <v>0</v>
      </c>
      <c r="P16" s="120">
        <f>IF(ISBLANK(P14),
0,
IF(P$6 = 4, 1, 0))</f>
        <v>0</v>
      </c>
      <c r="Q16" s="120">
        <f>IF(ISBLANK(Q14),
0,
IF(Q$6= 4, 1, 0))</f>
        <v>1</v>
      </c>
      <c r="R16" s="120">
        <f>IF(ISBLANK(R14),
0,
IF(R$6 = 4, 1, 0))</f>
        <v>0</v>
      </c>
      <c r="S16" s="142"/>
      <c r="T16" s="77"/>
      <c r="U16" s="77"/>
      <c r="V16" s="77"/>
      <c r="W16" s="77"/>
      <c r="X16" s="77"/>
      <c r="Y16" s="77"/>
      <c r="Z16" s="77"/>
      <c r="AA16" s="77"/>
      <c r="AB16" s="142"/>
      <c r="AC16" s="120"/>
      <c r="AD16" s="120"/>
      <c r="AE16" s="120"/>
      <c r="AF16" s="120"/>
      <c r="AG16" s="142"/>
      <c r="AH16" s="120"/>
      <c r="AI16" s="120"/>
      <c r="AJ16" s="142"/>
      <c r="AK16" s="143">
        <f>SUM(C16:AI16)</f>
        <v>4</v>
      </c>
      <c r="AL16" s="125"/>
    </row>
    <row r="17" spans="1:38" s="27" customFormat="1" ht="12.75" hidden="1" customHeight="1" x14ac:dyDescent="0.2">
      <c r="A17" s="101"/>
      <c r="B17" s="126" t="s">
        <v>53</v>
      </c>
      <c r="C17" s="120">
        <f>IF(C16 = 0,
0,
IF(C14 = (C$6+D$6),1,0))</f>
        <v>0</v>
      </c>
      <c r="D17" s="120">
        <f>IF(D16 = 0,
0,
IF(D14 = (C$6+D$6),1,0))</f>
        <v>0</v>
      </c>
      <c r="E17" s="141">
        <f>IF(E16 = 0,
0,
IF(E14 = (E$6+F$6),1,0))</f>
        <v>0</v>
      </c>
      <c r="F17" s="120">
        <f>IF(F16 = 0,
0,
IF(F14 = (E$6+F$6),1,0))</f>
        <v>0</v>
      </c>
      <c r="G17" s="120">
        <f>IF(G16 = 0,
0,
IF(G14 = (G$6+H$6),1,0))</f>
        <v>0</v>
      </c>
      <c r="H17" s="120">
        <f>IF(H16 = 0,
0,
IF(H14 = (G$6+H$6),1,0))</f>
        <v>1</v>
      </c>
      <c r="I17" s="120">
        <f>IF(I16 = 0,
0,
IF(I14 = (I$6+J$6),1,0))</f>
        <v>0</v>
      </c>
      <c r="J17" s="120">
        <f>IF(J16 = 0,
0,
IF(J14 = (I$6+J$6),1,0))</f>
        <v>0</v>
      </c>
      <c r="K17" s="120">
        <f>IF(K16 = 0,
0,
IF(K14 = (K$6+L$6),1,0))</f>
        <v>0</v>
      </c>
      <c r="L17" s="120">
        <f>IF(L16 = 0,
0,
IF(L14 = (K$6+L$6),1,0))</f>
        <v>0</v>
      </c>
      <c r="M17" s="120">
        <f>IF(M16 = 0,
0,
IF(M14 = (M$6+N$6),1,0))</f>
        <v>0</v>
      </c>
      <c r="N17" s="120">
        <f>IF(N16 = 0,
0,
IF(N14 = (M$6+N$6),1,0))</f>
        <v>1</v>
      </c>
      <c r="O17" s="120">
        <f>IF(O16 = 0,
0,
IF(O14 = (O$6+P$6),1,0))</f>
        <v>0</v>
      </c>
      <c r="P17" s="120">
        <f>IF(P16 = 0,
0,
IF(P14 = (O$6+P$6),1,0))</f>
        <v>0</v>
      </c>
      <c r="Q17" s="120">
        <f>IF(Q16 = 0,
0,
IF(Q14 = (Q$6+R$6),1,0))</f>
        <v>0</v>
      </c>
      <c r="R17" s="120">
        <f>IF(R16 = 0,
0,
IF(R14 = (Q$6+R$6),1,0))</f>
        <v>0</v>
      </c>
      <c r="S17" s="142"/>
      <c r="T17" s="77"/>
      <c r="U17" s="77"/>
      <c r="V17" s="77"/>
      <c r="W17" s="77"/>
      <c r="X17" s="77"/>
      <c r="Y17" s="77"/>
      <c r="Z17" s="77"/>
      <c r="AA17" s="77"/>
      <c r="AB17" s="142"/>
      <c r="AC17" s="120"/>
      <c r="AD17" s="120"/>
      <c r="AE17" s="120"/>
      <c r="AF17" s="120"/>
      <c r="AG17" s="142"/>
      <c r="AH17" s="120"/>
      <c r="AI17" s="120"/>
      <c r="AJ17" s="142"/>
      <c r="AK17" s="143">
        <f>SUM(C17:AI17)</f>
        <v>2</v>
      </c>
      <c r="AL17" s="125"/>
    </row>
    <row r="18" spans="1:38" ht="12.75" customHeight="1" x14ac:dyDescent="0.2">
      <c r="A18" s="177">
        <f>RANK(AL18,$AL$10:$AL$97,)</f>
        <v>3</v>
      </c>
      <c r="B18" s="201" t="s">
        <v>69</v>
      </c>
      <c r="C18" s="189">
        <v>5</v>
      </c>
      <c r="D18" s="190"/>
      <c r="E18" s="251">
        <v>7</v>
      </c>
      <c r="F18" s="190"/>
      <c r="G18" s="192">
        <v>5</v>
      </c>
      <c r="H18" s="193"/>
      <c r="I18" s="191">
        <v>6</v>
      </c>
      <c r="J18" s="193"/>
      <c r="K18" s="194">
        <v>5</v>
      </c>
      <c r="L18" s="193"/>
      <c r="M18" s="191">
        <v>6</v>
      </c>
      <c r="N18" s="190"/>
      <c r="O18" s="191">
        <v>5</v>
      </c>
      <c r="P18" s="190"/>
      <c r="Q18" s="260">
        <v>7</v>
      </c>
      <c r="R18" s="195"/>
      <c r="S18" s="232">
        <f>SUM(C19:R19)</f>
        <v>39</v>
      </c>
      <c r="T18" s="189"/>
      <c r="U18" s="193">
        <v>6</v>
      </c>
      <c r="V18" s="191">
        <v>6</v>
      </c>
      <c r="W18" s="193"/>
      <c r="X18" s="194"/>
      <c r="Y18" s="190">
        <v>6</v>
      </c>
      <c r="Z18" s="192">
        <v>7</v>
      </c>
      <c r="AA18" s="195"/>
      <c r="AB18" s="196">
        <f>SUM(T19:AA19)</f>
        <v>0</v>
      </c>
      <c r="AC18" s="192"/>
      <c r="AD18" s="193"/>
      <c r="AE18" s="194"/>
      <c r="AF18" s="193"/>
      <c r="AG18" s="196">
        <f>SUM(AC19:AF19)</f>
        <v>0</v>
      </c>
      <c r="AH18" s="223"/>
      <c r="AI18" s="197"/>
      <c r="AJ18" s="196">
        <f>AH19</f>
        <v>0</v>
      </c>
      <c r="AK18" s="198">
        <f>MAX($AL$10:$AL$97) - AL18</f>
        <v>5</v>
      </c>
      <c r="AL18" s="196">
        <f>$S18+$AB18+$AG18+$AJ18</f>
        <v>39</v>
      </c>
    </row>
    <row r="19" spans="1:38" s="27" customFormat="1" ht="12.75" hidden="1" customHeight="1" x14ac:dyDescent="0.2">
      <c r="A19" s="119" t="e">
        <f>RANK(AL19,$AL$10:$AL$97,)</f>
        <v>#N/A</v>
      </c>
      <c r="B19" s="100"/>
      <c r="C19" s="120">
        <f>(IF($C18&lt;&gt;"",($C$6*$O$104)+IF($C$6=4,($O$102)+IF($C18=$C$6+$D$6,$O$103,0),0),0)+IF($D18&lt;&gt;"",($D$6*$O$104)+IF($D$6=4,($O$102)+IF($D18=$C$6+$D$6,$O$103,0),0),0))</f>
        <v>0</v>
      </c>
      <c r="D19" s="144"/>
      <c r="E19" s="127">
        <f>(IF($E18&lt;&gt;"",($E$6*$O$104)+IF($E$6=4,($O$102)+IF($E18=$E$6+$F$6,$O$103,0),0),0)+IF($F18&lt;&gt;"",($F$6*$O$104)+IF($F$6=4,($O$102)+IF($F18=$E$6+$F$6,$O$103,0),0),0))</f>
        <v>11</v>
      </c>
      <c r="F19" s="144"/>
      <c r="G19" s="122">
        <f>(IF($G18&lt;&gt;"",($G$6*$O$104)+IF($G$6=4,($O$102)+IF($G18=$G$6+$H$6,$O$103,0),0),0)+IF($H18&lt;&gt;"",($H$6*$O$104)+IF($H$6=4,($O$102)+IF($H18=$G$6+$H$6,$O$103,0),0),0))</f>
        <v>3</v>
      </c>
      <c r="H19" s="144"/>
      <c r="I19" s="122">
        <f>(IF($I18&lt;&gt;"",($I$6*$O$104)+IF($I$6=4,($O$102)+IF($I18=$I$6+$J$6,$O$103,0),0),0)+IF($J18&lt;&gt;"",($J$6*$O$104)+IF($J$6=4,($O$102)+IF($J18=$I$6+$J$6,$O$103,0),0),0))</f>
        <v>9</v>
      </c>
      <c r="J19" s="145"/>
      <c r="K19" s="146">
        <f>(IF($K18&lt;&gt;"",($K$6*$O$104)+IF($K$6=4,($O$102)+IF($K18=$K$6+$L$6,$O$103,0),0),0)+IF($L18&lt;&gt;"",($L$6*$O$104)+IF($L$6=4,($O$102)+IF($L18=$K$6+$L$6,$O$103,0),0),0))</f>
        <v>1</v>
      </c>
      <c r="L19" s="144"/>
      <c r="M19" s="122">
        <f>(IF($M18&lt;&gt;"",($M$6*$O$104)+IF($M$6=4,($O$102)+IF($M18=$M$6+$N$6,$O$103,0),0),0)+IF($N18&lt;&gt;"",($N$6*$O$104)+IF($N$6=4,($O$102)+IF($N18=$M$6+$N$6,$O$103,0),0),0))</f>
        <v>2</v>
      </c>
      <c r="N19" s="144"/>
      <c r="O19" s="122">
        <f>(IF($O18&lt;&gt;"",($O$6*$O$104)+IF($O$6=4,($O$102)+IF($O18=$O$6+$P$6,$O$103,0),0),0)+IF($P18&lt;&gt;"",($P$6*$O$104)+IF($P$6=4,($O$102)+IF($P18=$O$6+$P$6,$O$103,0),0),0))</f>
        <v>2</v>
      </c>
      <c r="P19" s="144"/>
      <c r="Q19" s="122">
        <f>(IF($Q18&lt;&gt;"",($Q$6*$O$104)+IF($Q$6=4,($O$102)+IF($Q18=$Q$6+$R$6,$O$103,0),0),0)+IF($R18&lt;&gt;"",($R$6*$O$104)+IF($R$6=4,($O$102)+IF($R18=$Q$6+$R$6,$O$103,0),0),0))</f>
        <v>11</v>
      </c>
      <c r="R19" s="147"/>
      <c r="S19" s="148"/>
      <c r="T19" s="59"/>
      <c r="U19" s="60"/>
      <c r="V19" s="61"/>
      <c r="W19" s="62"/>
      <c r="X19" s="63"/>
      <c r="Y19" s="60"/>
      <c r="Z19" s="61"/>
      <c r="AA19" s="64"/>
      <c r="AB19" s="148"/>
      <c r="AC19" s="153"/>
      <c r="AD19" s="150"/>
      <c r="AE19" s="151"/>
      <c r="AF19" s="153"/>
      <c r="AG19" s="148"/>
      <c r="AH19" s="149"/>
      <c r="AI19" s="152"/>
      <c r="AJ19" s="148"/>
      <c r="AK19" s="154">
        <f>MAX($AL$10:$AL$97) - AL19</f>
        <v>44</v>
      </c>
      <c r="AL19" s="123"/>
    </row>
    <row r="20" spans="1:38" s="27" customFormat="1" ht="12.75" hidden="1" customHeight="1" x14ac:dyDescent="0.2">
      <c r="A20" s="119"/>
      <c r="B20" s="126" t="s">
        <v>52</v>
      </c>
      <c r="C20" s="120">
        <f>IF(ISBLANK(C18),
0,
IF(C$6= 4, 1, 0))</f>
        <v>0</v>
      </c>
      <c r="D20" s="120">
        <f>IF(ISBLANK(D18),
0,
IF(D$6 = 4, 1, 0))</f>
        <v>0</v>
      </c>
      <c r="E20" s="141">
        <f>IF(ISBLANK(E18),
0,
IF(E$6= 4, 1, 0))</f>
        <v>1</v>
      </c>
      <c r="F20" s="120">
        <f>IF(ISBLANK(F18),
0,
IF(F$6 = 4, 1, 0))</f>
        <v>0</v>
      </c>
      <c r="G20" s="120">
        <f>IF(ISBLANK(G18),
0,
IF(G$6= 4, 1, 0))</f>
        <v>0</v>
      </c>
      <c r="H20" s="120">
        <f>IF(ISBLANK(H18),
0,
IF(H$6 = 4, 1, 0))</f>
        <v>0</v>
      </c>
      <c r="I20" s="120">
        <f>IF(ISBLANK(I18),
0,
IF(I$6= 4, 1, 0))</f>
        <v>1</v>
      </c>
      <c r="J20" s="120">
        <f>IF(ISBLANK(J18),
0,
IF(J$6 = 4, 1, 0))</f>
        <v>0</v>
      </c>
      <c r="K20" s="120">
        <f>IF(ISBLANK(K18),
0,
IF(K$6= 4, 1, 0))</f>
        <v>0</v>
      </c>
      <c r="L20" s="120">
        <f>IF(ISBLANK(L18),
0,
IF(L$6 = 4, 1, 0))</f>
        <v>0</v>
      </c>
      <c r="M20" s="120">
        <f>IF(ISBLANK(M18),
0,
IF(M$6= 4, 1, 0))</f>
        <v>0</v>
      </c>
      <c r="N20" s="120">
        <f>IF(ISBLANK(N18),
0,
IF(N$6 = 4, 1, 0))</f>
        <v>0</v>
      </c>
      <c r="O20" s="120">
        <f>IF(ISBLANK(O18),
0,
IF(O$6= 4, 1, 0))</f>
        <v>0</v>
      </c>
      <c r="P20" s="120">
        <f>IF(ISBLANK(P18),
0,
IF(P$6 = 4, 1, 0))</f>
        <v>0</v>
      </c>
      <c r="Q20" s="120">
        <f>IF(ISBLANK(Q18),
0,
IF(Q$6= 4, 1, 0))</f>
        <v>1</v>
      </c>
      <c r="R20" s="120">
        <f>IF(ISBLANK(R18),
0,
IF(R$6 = 4, 1, 0))</f>
        <v>0</v>
      </c>
      <c r="S20" s="142"/>
      <c r="T20" s="77"/>
      <c r="U20" s="77"/>
      <c r="V20" s="77"/>
      <c r="W20" s="77"/>
      <c r="X20" s="77"/>
      <c r="Y20" s="77"/>
      <c r="Z20" s="77"/>
      <c r="AA20" s="77"/>
      <c r="AB20" s="142"/>
      <c r="AC20" s="120"/>
      <c r="AD20" s="120"/>
      <c r="AE20" s="120"/>
      <c r="AF20" s="120"/>
      <c r="AG20" s="142"/>
      <c r="AH20" s="120"/>
      <c r="AI20" s="120"/>
      <c r="AJ20" s="142"/>
      <c r="AK20" s="143">
        <f>SUM(C20:AI20)</f>
        <v>3</v>
      </c>
      <c r="AL20" s="125"/>
    </row>
    <row r="21" spans="1:38" s="27" customFormat="1" ht="12.75" hidden="1" customHeight="1" x14ac:dyDescent="0.2">
      <c r="A21" s="119"/>
      <c r="B21" s="126" t="s">
        <v>53</v>
      </c>
      <c r="C21" s="120">
        <f>IF(C20 = 0,
0,
IF(C18 = (C$6+D$6),1,0))</f>
        <v>0</v>
      </c>
      <c r="D21" s="120">
        <f>IF(D20 = 0,
0,
IF(D18 = (C$6+D$6),1,0))</f>
        <v>0</v>
      </c>
      <c r="E21" s="141">
        <f>IF(E20 = 0,
0,
IF(E18 = (E$6+F$6),1,0))</f>
        <v>1</v>
      </c>
      <c r="F21" s="120">
        <f>IF(F20 = 0,
0,
IF(F18 = (E$6+F$6),1,0))</f>
        <v>0</v>
      </c>
      <c r="G21" s="120">
        <f>IF(G20 = 0,
0,
IF(G18 = (G$6+H$6),1,0))</f>
        <v>0</v>
      </c>
      <c r="H21" s="120">
        <f>IF(H20 = 0,
0,
IF(H18 = (G$6+H$6),1,0))</f>
        <v>0</v>
      </c>
      <c r="I21" s="120">
        <f>IF(I20 = 0,
0,
IF(I18 = (I$6+J$6),1,0))</f>
        <v>0</v>
      </c>
      <c r="J21" s="120">
        <f>IF(J20 = 0,
0,
IF(J18 = (I$6+J$6),1,0))</f>
        <v>0</v>
      </c>
      <c r="K21" s="120">
        <f>IF(K20 = 0,
0,
IF(K18 = (K$6+L$6),1,0))</f>
        <v>0</v>
      </c>
      <c r="L21" s="120">
        <f>IF(L20 = 0,
0,
IF(L18 = (K$6+L$6),1,0))</f>
        <v>0</v>
      </c>
      <c r="M21" s="120">
        <f>IF(M20 = 0,
0,
IF(M18 = (M$6+N$6),1,0))</f>
        <v>0</v>
      </c>
      <c r="N21" s="120">
        <f>IF(N20 = 0,
0,
IF(N18 = (M$6+N$6),1,0))</f>
        <v>0</v>
      </c>
      <c r="O21" s="120">
        <f>IF(O20 = 0,
0,
IF(O18 = (O$6+P$6),1,0))</f>
        <v>0</v>
      </c>
      <c r="P21" s="120">
        <f>IF(P20 = 0,
0,
IF(P18 = (O$6+P$6),1,0))</f>
        <v>0</v>
      </c>
      <c r="Q21" s="120">
        <f>IF(Q20 = 0,
0,
IF(Q18 = (Q$6+R$6),1,0))</f>
        <v>1</v>
      </c>
      <c r="R21" s="120">
        <f>IF(R20 = 0,
0,
IF(R18 = (Q$6+R$6),1,0))</f>
        <v>0</v>
      </c>
      <c r="S21" s="142"/>
      <c r="T21" s="77"/>
      <c r="U21" s="77"/>
      <c r="V21" s="77"/>
      <c r="W21" s="77"/>
      <c r="X21" s="77"/>
      <c r="Y21" s="77"/>
      <c r="Z21" s="77"/>
      <c r="AA21" s="77"/>
      <c r="AB21" s="142"/>
      <c r="AC21" s="120"/>
      <c r="AD21" s="120"/>
      <c r="AE21" s="120"/>
      <c r="AF21" s="120"/>
      <c r="AG21" s="142"/>
      <c r="AH21" s="120"/>
      <c r="AI21" s="120"/>
      <c r="AJ21" s="142"/>
      <c r="AK21" s="143">
        <f>SUM(C21:AI21)</f>
        <v>2</v>
      </c>
      <c r="AL21" s="125"/>
    </row>
    <row r="22" spans="1:38" s="27" customFormat="1" ht="12.75" customHeight="1" x14ac:dyDescent="0.2">
      <c r="A22" s="119">
        <f>RANK(AL22,$AL$10:$AL$97,)</f>
        <v>4</v>
      </c>
      <c r="B22" s="86" t="s">
        <v>71</v>
      </c>
      <c r="C22" s="46">
        <v>5</v>
      </c>
      <c r="D22" s="45"/>
      <c r="E22" s="250">
        <v>7</v>
      </c>
      <c r="F22" s="45"/>
      <c r="G22" s="48">
        <v>6</v>
      </c>
      <c r="H22" s="47"/>
      <c r="I22" s="44">
        <v>6</v>
      </c>
      <c r="J22" s="47"/>
      <c r="K22" s="49">
        <v>4</v>
      </c>
      <c r="L22" s="47"/>
      <c r="M22" s="44">
        <v>5</v>
      </c>
      <c r="N22" s="45"/>
      <c r="O22" s="44"/>
      <c r="P22" s="45">
        <v>7</v>
      </c>
      <c r="Q22" s="48"/>
      <c r="R22" s="50">
        <v>7</v>
      </c>
      <c r="S22" s="124">
        <f>SUM(C23:R23)</f>
        <v>38</v>
      </c>
      <c r="T22" s="46"/>
      <c r="U22" s="47">
        <v>6</v>
      </c>
      <c r="V22" s="44">
        <v>5</v>
      </c>
      <c r="W22" s="47"/>
      <c r="X22" s="49"/>
      <c r="Y22" s="45"/>
      <c r="Z22" s="48"/>
      <c r="AA22" s="50"/>
      <c r="AB22" s="124">
        <f>SUM(T23:AA23)</f>
        <v>0</v>
      </c>
      <c r="AC22" s="48"/>
      <c r="AD22" s="257"/>
      <c r="AE22" s="49"/>
      <c r="AF22" s="47"/>
      <c r="AG22" s="124">
        <f>SUM(AC23:AF23)</f>
        <v>0</v>
      </c>
      <c r="AH22" s="256"/>
      <c r="AI22" s="57"/>
      <c r="AJ22" s="124">
        <f>AH23</f>
        <v>0</v>
      </c>
      <c r="AK22" s="113">
        <f>MAX($AL$10:$AL$97) - AL22</f>
        <v>6</v>
      </c>
      <c r="AL22" s="124">
        <f>$S22+$AB22+$AG22+$AJ22</f>
        <v>38</v>
      </c>
    </row>
    <row r="23" spans="1:38" s="27" customFormat="1" ht="12.75" hidden="1" customHeight="1" x14ac:dyDescent="0.2">
      <c r="A23" s="119" t="e">
        <f>RANK(AL23,$AL$10:$AL$97,)</f>
        <v>#N/A</v>
      </c>
      <c r="B23" s="94"/>
      <c r="C23" s="141">
        <f>(IF($C22&lt;&gt;"",($C$6*$O$104)+IF($C$6=4,($O$102)+IF($C22=$C$6+$D$6,$O$103,0),0),0)+IF($D22&lt;&gt;"",($D$6*$O$104)+IF($D$6=4,($O$102)+IF($D22=$C$6+$D$6,$O$103,0),0),0))</f>
        <v>0</v>
      </c>
      <c r="D23" s="155"/>
      <c r="E23" s="127">
        <f>(IF($E22&lt;&gt;"",($E$6*$O$104)+IF($E$6=4,($O$102)+IF($E22=$E$6+$F$6,$O$103,0),0),0)+IF($F22&lt;&gt;"",($F$6*$O$104)+IF($F$6=4,($O$102)+IF($F22=$E$6+$F$6,$O$103,0),0),0))</f>
        <v>11</v>
      </c>
      <c r="F23" s="155"/>
      <c r="G23" s="127">
        <f>(IF($G22&lt;&gt;"",($G$6*$O$104)+IF($G$6=4,($O$102)+IF($G22=$G$6+$H$6,$O$103,0),0),0)+IF($H22&lt;&gt;"",($H$6*$O$104)+IF($H$6=4,($O$102)+IF($H22=$G$6+$H$6,$O$103,0),0),0))</f>
        <v>3</v>
      </c>
      <c r="H23" s="155"/>
      <c r="I23" s="127">
        <f>(IF($I22&lt;&gt;"",($I$6*$O$104)+IF($I$6=4,($O$102)+IF($I22=$I$6+$J$6,$O$103,0),0),0)+IF($J22&lt;&gt;"",($J$6*$O$104)+IF($J$6=4,($O$102)+IF($J22=$I$6+$J$6,$O$103,0),0),0))</f>
        <v>9</v>
      </c>
      <c r="J23" s="156"/>
      <c r="K23" s="157">
        <f>(IF($K22&lt;&gt;"",($K$6*$O$104)+IF($K$6=4,($O$102)+IF($K22=$K$6+$L$6,$O$103,0),0),0)+IF($L22&lt;&gt;"",($L$6*$O$104)+IF($L$6=4,($O$102)+IF($L22=$K$6+$L$6,$O$103,0),0),0))</f>
        <v>1</v>
      </c>
      <c r="L23" s="155"/>
      <c r="M23" s="127">
        <f>(IF($M22&lt;&gt;"",($M$6*$O$104)+IF($M$6=4,($O$102)+IF($M22=$M$6+$N$6,$O$103,0),0),0)+IF($N22&lt;&gt;"",($N$6*$O$104)+IF($N$6=4,($O$102)+IF($N22=$M$6+$N$6,$O$103,0),0),0))</f>
        <v>2</v>
      </c>
      <c r="N23" s="155"/>
      <c r="O23" s="127">
        <f>(IF($O22&lt;&gt;"",($O$6*$O$104)+IF($O$6=4,($O$102)+IF($O22=$O$6+$P$6,$O$103,0),0),0)+IF($P22&lt;&gt;"",($P$6*$O$104)+IF($P$6=4,($O$102)+IF($P22=$O$6+$P$6,$O$103,0),0),0))</f>
        <v>9</v>
      </c>
      <c r="P23" s="155"/>
      <c r="Q23" s="127">
        <f>(IF($Q22&lt;&gt;"",($Q$6*$O$104)+IF($Q$6=4,($O$102)+IF($Q22=$Q$6+$R$6,$O$103,0),0),0)+IF($R22&lt;&gt;"",($R$6*$O$104)+IF($R$6=4,($O$102)+IF($R22=$Q$6+$R$6,$O$103,0),0),0))</f>
        <v>3</v>
      </c>
      <c r="R23" s="158"/>
      <c r="S23" s="148"/>
      <c r="T23" s="59"/>
      <c r="U23" s="60"/>
      <c r="V23" s="61"/>
      <c r="W23" s="62"/>
      <c r="X23" s="63"/>
      <c r="Y23" s="60"/>
      <c r="Z23" s="61"/>
      <c r="AA23" s="64"/>
      <c r="AB23" s="148"/>
      <c r="AC23" s="153"/>
      <c r="AD23" s="150"/>
      <c r="AE23" s="151"/>
      <c r="AF23" s="153"/>
      <c r="AG23" s="148"/>
      <c r="AH23" s="149"/>
      <c r="AI23" s="152"/>
      <c r="AJ23" s="148"/>
      <c r="AK23" s="154">
        <f>MAX($AL$10:$AL$97) - AL23</f>
        <v>44</v>
      </c>
      <c r="AL23" s="123"/>
    </row>
    <row r="24" spans="1:38" s="27" customFormat="1" hidden="1" x14ac:dyDescent="0.2">
      <c r="A24" s="101"/>
      <c r="B24" s="126" t="s">
        <v>52</v>
      </c>
      <c r="C24" s="120">
        <f>IF(ISBLANK(C22),
0,
IF(C$6= 4, 1, 0))</f>
        <v>0</v>
      </c>
      <c r="D24" s="120">
        <f>IF(ISBLANK(D22),
0,
IF(D$6 = 4, 1, 0))</f>
        <v>0</v>
      </c>
      <c r="E24" s="120">
        <f>IF(ISBLANK(E22),
0,
IF(E$6= 4, 1, 0))</f>
        <v>1</v>
      </c>
      <c r="F24" s="120">
        <f>IF(ISBLANK(F22),
0,
IF(F$6 = 4, 1, 0))</f>
        <v>0</v>
      </c>
      <c r="G24" s="120">
        <f>IF(ISBLANK(G22),
0,
IF(G$6= 4, 1, 0))</f>
        <v>0</v>
      </c>
      <c r="H24" s="120">
        <f>IF(ISBLANK(H22),
0,
IF(H$6 = 4, 1, 0))</f>
        <v>0</v>
      </c>
      <c r="I24" s="120">
        <f>IF(ISBLANK(I22),
0,
IF(I$6= 4, 1, 0))</f>
        <v>1</v>
      </c>
      <c r="J24" s="120">
        <f>IF(ISBLANK(J22),
0,
IF(J$6 = 4, 1, 0))</f>
        <v>0</v>
      </c>
      <c r="K24" s="120">
        <f>IF(ISBLANK(K22),
0,
IF(K$6= 4, 1, 0))</f>
        <v>0</v>
      </c>
      <c r="L24" s="120">
        <f>IF(ISBLANK(L22),
0,
IF(L$6 = 4, 1, 0))</f>
        <v>0</v>
      </c>
      <c r="M24" s="120">
        <f>IF(ISBLANK(M22),
0,
IF(M$6= 4, 1, 0))</f>
        <v>0</v>
      </c>
      <c r="N24" s="141">
        <f>IF(ISBLANK(N22),
0,
IF(N$6 = 4, 1, 0))</f>
        <v>0</v>
      </c>
      <c r="O24" s="120">
        <f>IF(ISBLANK(O22),
0,
IF(O$6= 4, 1, 0))</f>
        <v>0</v>
      </c>
      <c r="P24" s="120">
        <f>IF(ISBLANK(P22),
0,
IF(P$6 = 4, 1, 0))</f>
        <v>1</v>
      </c>
      <c r="Q24" s="120">
        <f>IF(ISBLANK(Q22),
0,
IF(Q$6= 4, 1, 0))</f>
        <v>0</v>
      </c>
      <c r="R24" s="120">
        <f>IF(ISBLANK(R22),
0,
IF(R$6 = 4, 1, 0))</f>
        <v>0</v>
      </c>
      <c r="S24" s="142"/>
      <c r="T24" s="77"/>
      <c r="U24" s="77"/>
      <c r="V24" s="77"/>
      <c r="W24" s="77"/>
      <c r="X24" s="77"/>
      <c r="Y24" s="77"/>
      <c r="Z24" s="77"/>
      <c r="AA24" s="77"/>
      <c r="AB24" s="142"/>
      <c r="AC24" s="120"/>
      <c r="AD24" s="120"/>
      <c r="AE24" s="120"/>
      <c r="AF24" s="120"/>
      <c r="AG24" s="142"/>
      <c r="AH24" s="120"/>
      <c r="AI24" s="120"/>
      <c r="AJ24" s="142"/>
      <c r="AK24" s="143">
        <f>SUM(C24:AI24)</f>
        <v>3</v>
      </c>
      <c r="AL24" s="125"/>
    </row>
    <row r="25" spans="1:38" s="27" customFormat="1" hidden="1" x14ac:dyDescent="0.2">
      <c r="A25" s="101"/>
      <c r="B25" s="126" t="s">
        <v>53</v>
      </c>
      <c r="C25" s="120">
        <f>IF(C24 = 0,
0,
IF(C22 = (C$6+D$6),1,0))</f>
        <v>0</v>
      </c>
      <c r="D25" s="120">
        <f>IF(D24 = 0,
0,
IF(D22 = (C$6+D$6),1,0))</f>
        <v>0</v>
      </c>
      <c r="E25" s="120">
        <f>IF(E24 = 0,
0,
IF(E22 = (E$6+F$6),1,0))</f>
        <v>1</v>
      </c>
      <c r="F25" s="120">
        <f>IF(F24 = 0,
0,
IF(F22 = (E$6+F$6),1,0))</f>
        <v>0</v>
      </c>
      <c r="G25" s="120">
        <f>IF(G24 = 0,
0,
IF(G22 = (G$6+H$6),1,0))</f>
        <v>0</v>
      </c>
      <c r="H25" s="120">
        <f>IF(H24 = 0,
0,
IF(H22 = (G$6+H$6),1,0))</f>
        <v>0</v>
      </c>
      <c r="I25" s="120">
        <f>IF(I24 = 0,
0,
IF(I22 = (I$6+J$6),1,0))</f>
        <v>0</v>
      </c>
      <c r="J25" s="120">
        <f>IF(J24 = 0,
0,
IF(J22 = (I$6+J$6),1,0))</f>
        <v>0</v>
      </c>
      <c r="K25" s="120">
        <f>IF(K24 = 0,
0,
IF(K22 = (K$6+L$6),1,0))</f>
        <v>0</v>
      </c>
      <c r="L25" s="120">
        <f>IF(L24 = 0,
0,
IF(L22 = (K$6+L$6),1,0))</f>
        <v>0</v>
      </c>
      <c r="M25" s="120">
        <f>IF(M24 = 0,
0,
IF(M22 = (M$6+N$6),1,0))</f>
        <v>0</v>
      </c>
      <c r="N25" s="141">
        <f>IF(N24 = 0,
0,
IF(N22 = (M$6+N$6),1,0))</f>
        <v>0</v>
      </c>
      <c r="O25" s="120">
        <f>IF(O24 = 0,
0,
IF(O22 = (O$6+P$6),1,0))</f>
        <v>0</v>
      </c>
      <c r="P25" s="120">
        <f>IF(P24 = 0,
0,
IF(P22 = (O$6+P$6),1,0))</f>
        <v>0</v>
      </c>
      <c r="Q25" s="120">
        <f>IF(Q24 = 0,
0,
IF(Q22 = (Q$6+R$6),1,0))</f>
        <v>0</v>
      </c>
      <c r="R25" s="120">
        <f>IF(R24 = 0,
0,
IF(R22 = (Q$6+R$6),1,0))</f>
        <v>0</v>
      </c>
      <c r="S25" s="142"/>
      <c r="T25" s="77"/>
      <c r="U25" s="77"/>
      <c r="V25" s="77"/>
      <c r="W25" s="77"/>
      <c r="X25" s="77"/>
      <c r="Y25" s="77"/>
      <c r="Z25" s="77"/>
      <c r="AA25" s="77"/>
      <c r="AB25" s="142"/>
      <c r="AC25" s="120"/>
      <c r="AD25" s="120"/>
      <c r="AE25" s="120"/>
      <c r="AF25" s="120"/>
      <c r="AG25" s="142"/>
      <c r="AH25" s="120"/>
      <c r="AI25" s="120"/>
      <c r="AJ25" s="142"/>
      <c r="AK25" s="143">
        <f>SUM(C25:AI25)</f>
        <v>1</v>
      </c>
      <c r="AL25" s="125"/>
    </row>
    <row r="26" spans="1:38" s="27" customFormat="1" ht="12.75" customHeight="1" x14ac:dyDescent="0.2">
      <c r="A26" s="177">
        <f>RANK(AL26,$AL$10:$AL$97,)</f>
        <v>5</v>
      </c>
      <c r="B26" s="201" t="s">
        <v>70</v>
      </c>
      <c r="C26" s="189">
        <v>5</v>
      </c>
      <c r="D26" s="190"/>
      <c r="E26" s="251">
        <v>7</v>
      </c>
      <c r="F26" s="190"/>
      <c r="G26" s="192">
        <v>4</v>
      </c>
      <c r="H26" s="193"/>
      <c r="I26" s="191"/>
      <c r="J26" s="193">
        <v>6</v>
      </c>
      <c r="K26" s="194">
        <v>5</v>
      </c>
      <c r="L26" s="193"/>
      <c r="M26" s="191"/>
      <c r="N26" s="253">
        <v>6</v>
      </c>
      <c r="O26" s="191">
        <v>7</v>
      </c>
      <c r="P26" s="190"/>
      <c r="Q26" s="192">
        <v>6</v>
      </c>
      <c r="R26" s="195"/>
      <c r="S26" s="196">
        <f>SUM(C27:R27)</f>
        <v>37</v>
      </c>
      <c r="T26" s="189">
        <v>6</v>
      </c>
      <c r="U26" s="193"/>
      <c r="V26" s="191"/>
      <c r="W26" s="193">
        <v>6</v>
      </c>
      <c r="X26" s="194">
        <v>5</v>
      </c>
      <c r="Y26" s="190"/>
      <c r="Z26" s="192"/>
      <c r="AA26" s="195">
        <v>7</v>
      </c>
      <c r="AB26" s="196">
        <f>SUM(T27:AA27)</f>
        <v>0</v>
      </c>
      <c r="AC26" s="192"/>
      <c r="AD26" s="193"/>
      <c r="AE26" s="194"/>
      <c r="AF26" s="193"/>
      <c r="AG26" s="196">
        <f>SUM(AC27:AF27)</f>
        <v>0</v>
      </c>
      <c r="AH26" s="261"/>
      <c r="AI26" s="187"/>
      <c r="AJ26" s="196">
        <f>AH27</f>
        <v>0</v>
      </c>
      <c r="AK26" s="198">
        <f>MAX($AL$10:$AL$97) - AL26</f>
        <v>7</v>
      </c>
      <c r="AL26" s="196">
        <f>$S26+$AB26+$AG26+$AJ26</f>
        <v>37</v>
      </c>
    </row>
    <row r="27" spans="1:38" s="27" customFormat="1" ht="12.75" hidden="1" customHeight="1" x14ac:dyDescent="0.2">
      <c r="A27" s="119" t="e">
        <f>RANK(AL27,$AL$10:$AL$97,)</f>
        <v>#N/A</v>
      </c>
      <c r="B27" s="94"/>
      <c r="C27" s="120">
        <f>(IF($C26&lt;&gt;"",($C$6*$O$104)+IF($C$6=4,($O$102)+IF($C26=$C$6+$D$6,$O$103,0),0),0)+IF($D26&lt;&gt;"",($D$6*$O$104)+IF($D$6=4,($O$102)+IF($D26=$C$6+$D$6,$O$103,0),0),0))</f>
        <v>0</v>
      </c>
      <c r="D27" s="144"/>
      <c r="E27" s="122">
        <f>(IF($E26&lt;&gt;"",($E$6*$O$104)+IF($E$6=4,($O$102)+IF($E26=$E$6+$F$6,$O$103,0),0),0)+IF($F26&lt;&gt;"",($F$6*$O$104)+IF($F$6=4,($O$102)+IF($F26=$E$6+$F$6,$O$103,0),0),0))</f>
        <v>11</v>
      </c>
      <c r="F27" s="144"/>
      <c r="G27" s="122">
        <f>(IF($G26&lt;&gt;"",($G$6*$O$104)+IF($G$6=4,($O$102)+IF($G26=$G$6+$H$6,$O$103,0),0),0)+IF($H26&lt;&gt;"",($H$6*$O$104)+IF($H$6=4,($O$102)+IF($H26=$G$6+$H$6,$O$103,0),0),0))</f>
        <v>3</v>
      </c>
      <c r="H27" s="144"/>
      <c r="I27" s="122">
        <f>(IF($I26&lt;&gt;"",($I$6*$O$104)+IF($I$6=4,($O$102)+IF($I26=$I$6+$J$6,$O$103,0),0),0)+IF($J26&lt;&gt;"",($J$6*$O$104)+IF($J$6=4,($O$102)+IF($J26=$I$6+$J$6,$O$103,0),0),0))</f>
        <v>0</v>
      </c>
      <c r="J27" s="145"/>
      <c r="K27" s="146">
        <f>(IF($K26&lt;&gt;"",($K$6*$O$104)+IF($K$6=4,($O$102)+IF($K26=$K$6+$L$6,$O$103,0),0),0)+IF($L26&lt;&gt;"",($L$6*$O$104)+IF($L$6=4,($O$102)+IF($L26=$K$6+$L$6,$O$103,0),0),0))</f>
        <v>1</v>
      </c>
      <c r="L27" s="144"/>
      <c r="M27" s="122">
        <f>(IF($M26&lt;&gt;"",($M$6*$O$104)+IF($M$6=4,($O$102)+IF($M26=$M$6+$N$6,$O$103,0),0),0)+IF($N26&lt;&gt;"",($N$6*$O$104)+IF($N$6=4,($O$102)+IF($N26=$M$6+$N$6,$O$103,0),0),0))</f>
        <v>11</v>
      </c>
      <c r="N27" s="144"/>
      <c r="O27" s="122">
        <f>(IF($O26&lt;&gt;"",($O$6*$O$104)+IF($O$6=4,($O$102)+IF($O26=$O$6+$P$6,$O$103,0),0),0)+IF($P26&lt;&gt;"",($P$6*$O$104)+IF($P$6=4,($O$102)+IF($P26=$O$6+$P$6,$O$103,0),0),0))</f>
        <v>2</v>
      </c>
      <c r="P27" s="144"/>
      <c r="Q27" s="122">
        <f>(IF($Q26&lt;&gt;"",($Q$6*$O$104)+IF($Q$6=4,($O$102)+IF($Q26=$Q$6+$R$6,$O$103,0),0),0)+IF($R26&lt;&gt;"",($R$6*$O$104)+IF($R$6=4,($O$102)+IF($R26=$Q$6+$R$6,$O$103,0),0),0))</f>
        <v>9</v>
      </c>
      <c r="R27" s="147"/>
      <c r="S27" s="148"/>
      <c r="T27" s="59"/>
      <c r="U27" s="60"/>
      <c r="V27" s="61"/>
      <c r="W27" s="62"/>
      <c r="X27" s="63"/>
      <c r="Y27" s="60"/>
      <c r="Z27" s="61"/>
      <c r="AA27" s="87"/>
      <c r="AB27" s="159"/>
      <c r="AC27" s="153"/>
      <c r="AD27" s="150"/>
      <c r="AE27" s="151"/>
      <c r="AF27" s="153"/>
      <c r="AG27" s="159"/>
      <c r="AH27" s="153"/>
      <c r="AI27" s="152"/>
      <c r="AJ27" s="148"/>
      <c r="AK27" s="154">
        <f>MAX($AL$10:$AL$97) - AL27</f>
        <v>44</v>
      </c>
      <c r="AL27" s="123"/>
    </row>
    <row r="28" spans="1:38" s="27" customFormat="1" hidden="1" x14ac:dyDescent="0.2">
      <c r="A28" s="101"/>
      <c r="B28" s="126" t="s">
        <v>52</v>
      </c>
      <c r="C28" s="120">
        <f>IF(ISBLANK(C26),
0,
IF(C$6= 4, 1, 0))</f>
        <v>0</v>
      </c>
      <c r="D28" s="120">
        <f>IF(ISBLANK(D26),
0,
IF(D$6 = 4, 1, 0))</f>
        <v>0</v>
      </c>
      <c r="E28" s="120">
        <f>IF(ISBLANK(E26),
0,
IF(E$6= 4, 1, 0))</f>
        <v>1</v>
      </c>
      <c r="F28" s="120">
        <f>IF(ISBLANK(F26),
0,
IF(F$6 = 4, 1, 0))</f>
        <v>0</v>
      </c>
      <c r="G28" s="120">
        <f>IF(ISBLANK(G26),
0,
IF(G$6= 4, 1, 0))</f>
        <v>0</v>
      </c>
      <c r="H28" s="120">
        <f>IF(ISBLANK(H26),
0,
IF(H$6 = 4, 1, 0))</f>
        <v>0</v>
      </c>
      <c r="I28" s="120">
        <f>IF(ISBLANK(I26),
0,
IF(I$6= 4, 1, 0))</f>
        <v>0</v>
      </c>
      <c r="J28" s="120">
        <f>IF(ISBLANK(J26),
0,
IF(J$6 = 4, 1, 0))</f>
        <v>0</v>
      </c>
      <c r="K28" s="120">
        <f>IF(ISBLANK(K26),
0,
IF(K$6= 4, 1, 0))</f>
        <v>0</v>
      </c>
      <c r="L28" s="120">
        <f>IF(ISBLANK(L26),
0,
IF(L$6 = 4, 1, 0))</f>
        <v>0</v>
      </c>
      <c r="M28" s="120">
        <f>IF(ISBLANK(M26),
0,
IF(M$6= 4, 1, 0))</f>
        <v>0</v>
      </c>
      <c r="N28" s="120">
        <f>IF(ISBLANK(N26),
0,
IF(N$6 = 4, 1, 0))</f>
        <v>1</v>
      </c>
      <c r="O28" s="120">
        <f>IF(ISBLANK(O26),
0,
IF(O$6= 4, 1, 0))</f>
        <v>0</v>
      </c>
      <c r="P28" s="120">
        <f>IF(ISBLANK(P26),
0,
IF(P$6 = 4, 1, 0))</f>
        <v>0</v>
      </c>
      <c r="Q28" s="120">
        <f>IF(ISBLANK(Q26),
0,
IF(Q$6= 4, 1, 0))</f>
        <v>1</v>
      </c>
      <c r="R28" s="120">
        <f>IF(ISBLANK(R26),
0,
IF(R$6 = 4, 1, 0))</f>
        <v>0</v>
      </c>
      <c r="S28" s="142"/>
      <c r="T28" s="77"/>
      <c r="U28" s="77"/>
      <c r="V28" s="77"/>
      <c r="W28" s="77"/>
      <c r="X28" s="77"/>
      <c r="Y28" s="77"/>
      <c r="Z28" s="77"/>
      <c r="AA28" s="77"/>
      <c r="AB28" s="142"/>
      <c r="AC28" s="120"/>
      <c r="AD28" s="120"/>
      <c r="AE28" s="120"/>
      <c r="AF28" s="120"/>
      <c r="AG28" s="142"/>
      <c r="AH28" s="120"/>
      <c r="AI28" s="120"/>
      <c r="AJ28" s="142"/>
      <c r="AK28" s="143">
        <f>SUM(C28:AI28)</f>
        <v>3</v>
      </c>
      <c r="AL28" s="125"/>
    </row>
    <row r="29" spans="1:38" s="27" customFormat="1" hidden="1" x14ac:dyDescent="0.2">
      <c r="A29" s="101"/>
      <c r="B29" s="126" t="s">
        <v>53</v>
      </c>
      <c r="C29" s="120">
        <f>IF(C28 = 0,
0,
IF(C26 = (C$6+D$6),1,0))</f>
        <v>0</v>
      </c>
      <c r="D29" s="120">
        <f>IF(D28 = 0,
0,
IF(D26 = (C$6+D$6),1,0))</f>
        <v>0</v>
      </c>
      <c r="E29" s="120">
        <f>IF(E28 = 0,
0,
IF(E26 = (E$6+F$6),1,0))</f>
        <v>1</v>
      </c>
      <c r="F29" s="120">
        <f>IF(F28 = 0,
0,
IF(F26 = (E$6+F$6),1,0))</f>
        <v>0</v>
      </c>
      <c r="G29" s="120">
        <f>IF(G28 = 0,
0,
IF(G26 = (G$6+H$6),1,0))</f>
        <v>0</v>
      </c>
      <c r="H29" s="120">
        <f>IF(H28 = 0,
0,
IF(H26 = (G$6+H$6),1,0))</f>
        <v>0</v>
      </c>
      <c r="I29" s="120">
        <f>IF(I28 = 0,
0,
IF(I26 = (I$6+J$6),1,0))</f>
        <v>0</v>
      </c>
      <c r="J29" s="120">
        <f>IF(J28 = 0,
0,
IF(J26 = (I$6+J$6),1,0))</f>
        <v>0</v>
      </c>
      <c r="K29" s="120">
        <f>IF(K28 = 0,
0,
IF(K26 = (K$6+L$6),1,0))</f>
        <v>0</v>
      </c>
      <c r="L29" s="120">
        <f>IF(L28 = 0,
0,
IF(L26 = (K$6+L$6),1,0))</f>
        <v>0</v>
      </c>
      <c r="M29" s="120">
        <f>IF(M28 = 0,
0,
IF(M26 = (M$6+N$6),1,0))</f>
        <v>0</v>
      </c>
      <c r="N29" s="120">
        <f>IF(N28 = 0,
0,
IF(N26 = (M$6+N$6),1,0))</f>
        <v>1</v>
      </c>
      <c r="O29" s="120">
        <f>IF(O28 = 0,
0,
IF(O26 = (O$6+P$6),1,0))</f>
        <v>0</v>
      </c>
      <c r="P29" s="120">
        <f>IF(P28 = 0,
0,
IF(P26 = (O$6+P$6),1,0))</f>
        <v>0</v>
      </c>
      <c r="Q29" s="120">
        <f>IF(Q28 = 0,
0,
IF(Q26 = (Q$6+R$6),1,0))</f>
        <v>0</v>
      </c>
      <c r="R29" s="120">
        <f>IF(R28 = 0,
0,
IF(R26 = (Q$6+R$6),1,0))</f>
        <v>0</v>
      </c>
      <c r="S29" s="142"/>
      <c r="T29" s="77"/>
      <c r="U29" s="77"/>
      <c r="V29" s="77"/>
      <c r="W29" s="77"/>
      <c r="X29" s="77"/>
      <c r="Y29" s="77"/>
      <c r="Z29" s="77"/>
      <c r="AA29" s="77"/>
      <c r="AB29" s="142"/>
      <c r="AC29" s="120"/>
      <c r="AD29" s="120"/>
      <c r="AE29" s="120"/>
      <c r="AF29" s="120"/>
      <c r="AG29" s="142"/>
      <c r="AH29" s="120"/>
      <c r="AI29" s="120"/>
      <c r="AJ29" s="142"/>
      <c r="AK29" s="143">
        <f>SUM(C29:AI29)</f>
        <v>2</v>
      </c>
      <c r="AL29" s="125"/>
    </row>
    <row r="30" spans="1:38" s="27" customFormat="1" ht="12.75" customHeight="1" x14ac:dyDescent="0.2">
      <c r="A30" s="119">
        <f>RANK(AL30,$AL$10:$AL$97,)</f>
        <v>6</v>
      </c>
      <c r="B30" s="86" t="s">
        <v>81</v>
      </c>
      <c r="C30" s="46">
        <v>6</v>
      </c>
      <c r="D30" s="45"/>
      <c r="E30" s="44">
        <v>5</v>
      </c>
      <c r="F30" s="45"/>
      <c r="G30" s="48">
        <v>7</v>
      </c>
      <c r="H30" s="47"/>
      <c r="I30" s="44"/>
      <c r="J30" s="47">
        <v>6</v>
      </c>
      <c r="K30" s="49">
        <v>6</v>
      </c>
      <c r="L30" s="47"/>
      <c r="M30" s="44"/>
      <c r="N30" s="45">
        <v>7</v>
      </c>
      <c r="O30" s="44">
        <v>6</v>
      </c>
      <c r="P30" s="45"/>
      <c r="Q30" s="255">
        <v>7</v>
      </c>
      <c r="R30" s="50"/>
      <c r="S30" s="124">
        <f>SUM(C31:R31)</f>
        <v>35</v>
      </c>
      <c r="T30" s="46"/>
      <c r="U30" s="47">
        <v>7</v>
      </c>
      <c r="V30" s="44">
        <v>6</v>
      </c>
      <c r="W30" s="47"/>
      <c r="X30" s="49"/>
      <c r="Y30" s="45">
        <v>7</v>
      </c>
      <c r="Z30" s="48">
        <v>6</v>
      </c>
      <c r="AA30" s="47"/>
      <c r="AB30" s="124">
        <f>SUM(T31:AA31)</f>
        <v>0</v>
      </c>
      <c r="AC30" s="48"/>
      <c r="AD30" s="47"/>
      <c r="AE30" s="49"/>
      <c r="AF30" s="47"/>
      <c r="AG30" s="124">
        <f>SUM(AC31:AF31)</f>
        <v>0</v>
      </c>
      <c r="AH30" s="104"/>
      <c r="AI30" s="57"/>
      <c r="AJ30" s="124">
        <f>AH31</f>
        <v>0</v>
      </c>
      <c r="AK30" s="113">
        <f>MAX($AL$10:$AL$97) - AL30</f>
        <v>9</v>
      </c>
      <c r="AL30" s="124">
        <f>$S30+$AB30+$AG30+$AJ30</f>
        <v>35</v>
      </c>
    </row>
    <row r="31" spans="1:38" s="27" customFormat="1" ht="12.75" hidden="1" customHeight="1" x14ac:dyDescent="0.2">
      <c r="A31" s="119" t="e">
        <f>RANK(AL31,$AL$10:$AL$97,)</f>
        <v>#N/A</v>
      </c>
      <c r="B31" s="100"/>
      <c r="C31" s="77">
        <f>(IF($C30&lt;&gt;"",($C$6*$O$104)+IF($C$6=4,($O$102)+IF($C30=$C$6+$D$6,$O$103,0),0),0)+IF($D30&lt;&gt;"",($D$6*$O$104)+IF($D$6=4,($O$102)+IF($D30=$C$6+$D$6,$O$103,0),0),0))</f>
        <v>0</v>
      </c>
      <c r="D31" s="78"/>
      <c r="E31" s="79">
        <f>(IF($E30&lt;&gt;"",($E$6*$O$104)+IF($E$6=4,($O$102)+IF($E30=$E$6+$F$6,$O$103,0),0),0)+IF($F30&lt;&gt;"",($F$6*$O$104)+IF($F$6=4,($O$102)+IF($F30=$E$6+$F$6,$O$103,0),0),0))</f>
        <v>9</v>
      </c>
      <c r="F31" s="78"/>
      <c r="G31" s="79">
        <f>(IF($G30&lt;&gt;"",($G$6*$O$104)+IF($G$6=4,($O$102)+IF($G30=$G$6+$H$6,$O$103,0),0),0)+IF($H30&lt;&gt;"",($H$6*$O$104)+IF($H$6=4,($O$102)+IF($H30=$G$6+$H$6,$O$103,0),0),0))</f>
        <v>3</v>
      </c>
      <c r="H31" s="78"/>
      <c r="I31" s="79">
        <f>(IF($I30&lt;&gt;"",($I$6*$O$104)+IF($I$6=4,($O$102)+IF($I30=$I$6+$J$6,$O$103,0),0),0)+IF($J30&lt;&gt;"",($J$6*$O$104)+IF($J$6=4,($O$102)+IF($J30=$I$6+$J$6,$O$103,0),0),0))</f>
        <v>0</v>
      </c>
      <c r="J31" s="80"/>
      <c r="K31" s="81">
        <f>(IF($K30&lt;&gt;"",($K$6*$O$104)+IF($K$6=4,($O$102)+IF($K30=$K$6+$L$6,$O$103,0),0),0)+IF($L30&lt;&gt;"",($L$6*$O$104)+IF($L$6=4,($O$102)+IF($L30=$K$6+$L$6,$O$103,0),0),0))</f>
        <v>1</v>
      </c>
      <c r="L31" s="78"/>
      <c r="M31" s="79">
        <f>(IF($M30&lt;&gt;"",($M$6*$O$104)+IF($M$6=4,($O$102)+IF($M30=$M$6+$N$6,$O$103,0),0),0)+IF($N30&lt;&gt;"",($N$6*$O$104)+IF($N$6=4,($O$102)+IF($N30=$M$6+$N$6,$O$103,0),0),0))</f>
        <v>9</v>
      </c>
      <c r="N31" s="78"/>
      <c r="O31" s="79">
        <f>(IF($O30&lt;&gt;"",($O$6*$O$104)+IF($O$6=4,($O$102)+IF($O30=$O$6+$P$6,$O$103,0),0),0)+IF($P30&lt;&gt;"",($P$6*$O$104)+IF($P$6=4,($O$102)+IF($P30=$O$6+$P$6,$O$103,0),0),0))</f>
        <v>2</v>
      </c>
      <c r="P31" s="78"/>
      <c r="Q31" s="79">
        <f>(IF($Q30&lt;&gt;"",($Q$6*$O$104)+IF($Q$6=4,($O$102)+IF($Q30=$Q$6+$R$6,$O$103,0),0),0)+IF($R30&lt;&gt;"",($R$6*$O$104)+IF($R$6=4,($O$102)+IF($R30=$Q$6+$R$6,$O$103,0),0),0))</f>
        <v>11</v>
      </c>
      <c r="R31" s="82"/>
      <c r="S31" s="123"/>
      <c r="T31" s="59"/>
      <c r="U31" s="60"/>
      <c r="V31" s="61"/>
      <c r="W31" s="62"/>
      <c r="X31" s="63"/>
      <c r="Y31" s="60"/>
      <c r="Z31" s="61"/>
      <c r="AA31" s="87"/>
      <c r="AB31" s="123"/>
      <c r="AC31" s="87"/>
      <c r="AD31" s="62"/>
      <c r="AE31" s="63"/>
      <c r="AF31" s="87"/>
      <c r="AG31" s="123"/>
      <c r="AH31" s="87"/>
      <c r="AI31" s="64"/>
      <c r="AJ31" s="123"/>
      <c r="AK31" s="94">
        <f>MAX($AL$10:$AL$97) - AL31</f>
        <v>44</v>
      </c>
      <c r="AL31" s="123"/>
    </row>
    <row r="32" spans="1:38" s="27" customFormat="1" hidden="1" x14ac:dyDescent="0.2">
      <c r="A32" s="101"/>
      <c r="B32" s="126" t="s">
        <v>52</v>
      </c>
      <c r="C32" s="120">
        <f>IF(ISBLANK(C30),
0,
IF(C$6= 4, 1, 0))</f>
        <v>0</v>
      </c>
      <c r="D32" s="120">
        <f>IF(ISBLANK(D30),
0,
IF(D$6 = 4, 1, 0))</f>
        <v>0</v>
      </c>
      <c r="E32" s="120">
        <f>IF(ISBLANK(E30),
0,
IF(E$6= 4, 1, 0))</f>
        <v>1</v>
      </c>
      <c r="F32" s="120">
        <f>IF(ISBLANK(F30),
0,
IF(F$6 = 4, 1, 0))</f>
        <v>0</v>
      </c>
      <c r="G32" s="120">
        <f>IF(ISBLANK(G30),
0,
IF(G$6= 4, 1, 0))</f>
        <v>0</v>
      </c>
      <c r="H32" s="120">
        <f>IF(ISBLANK(H30),
0,
IF(H$6 = 4, 1, 0))</f>
        <v>0</v>
      </c>
      <c r="I32" s="120">
        <f>IF(ISBLANK(I30),
0,
IF(I$6= 4, 1, 0))</f>
        <v>0</v>
      </c>
      <c r="J32" s="120">
        <f>IF(ISBLANK(J30),
0,
IF(J$6 = 4, 1, 0))</f>
        <v>0</v>
      </c>
      <c r="K32" s="120">
        <f>IF(ISBLANK(K30),
0,
IF(K$6= 4, 1, 0))</f>
        <v>0</v>
      </c>
      <c r="L32" s="120">
        <f>IF(ISBLANK(L30),
0,
IF(L$6 = 4, 1, 0))</f>
        <v>0</v>
      </c>
      <c r="M32" s="120">
        <f>IF(ISBLANK(M30),
0,
IF(M$6= 4, 1, 0))</f>
        <v>0</v>
      </c>
      <c r="N32" s="120">
        <f>IF(ISBLANK(N30),
0,
IF(N$6 = 4, 1, 0))</f>
        <v>1</v>
      </c>
      <c r="O32" s="120">
        <f>IF(ISBLANK(O30),
0,
IF(O$6= 4, 1, 0))</f>
        <v>0</v>
      </c>
      <c r="P32" s="120">
        <f>IF(ISBLANK(P30),
0,
IF(P$6 = 4, 1, 0))</f>
        <v>0</v>
      </c>
      <c r="Q32" s="120">
        <f>IF(ISBLANK(Q30),
0,
IF(Q$6= 4, 1, 0))</f>
        <v>1</v>
      </c>
      <c r="R32" s="120">
        <f>IF(ISBLANK(R30),
0,
IF(R$6 = 4, 1, 0))</f>
        <v>0</v>
      </c>
      <c r="S32" s="142"/>
      <c r="T32" s="77"/>
      <c r="U32" s="77"/>
      <c r="V32" s="77"/>
      <c r="W32" s="77"/>
      <c r="X32" s="77"/>
      <c r="Y32" s="77"/>
      <c r="Z32" s="77"/>
      <c r="AA32" s="77"/>
      <c r="AB32" s="142"/>
      <c r="AC32" s="120"/>
      <c r="AD32" s="120"/>
      <c r="AE32" s="120"/>
      <c r="AF32" s="120"/>
      <c r="AG32" s="142"/>
      <c r="AH32" s="120"/>
      <c r="AI32" s="120"/>
      <c r="AJ32" s="142"/>
      <c r="AK32" s="143">
        <f>SUM(C32:AI32)</f>
        <v>3</v>
      </c>
      <c r="AL32" s="125"/>
    </row>
    <row r="33" spans="1:38" s="27" customFormat="1" hidden="1" x14ac:dyDescent="0.2">
      <c r="A33" s="101"/>
      <c r="B33" s="126" t="s">
        <v>53</v>
      </c>
      <c r="C33" s="120">
        <f>IF(C32 = 0,
0,
IF(C30 = (C$6+D$6),1,0))</f>
        <v>0</v>
      </c>
      <c r="D33" s="120">
        <f>IF(D32 = 0,
0,
IF(D30 = (C$6+D$6),1,0))</f>
        <v>0</v>
      </c>
      <c r="E33" s="120">
        <f>IF(E32 = 0,
0,
IF(E30 = (E$6+F$6),1,0))</f>
        <v>0</v>
      </c>
      <c r="F33" s="120">
        <f>IF(F32 = 0,
0,
IF(F30 = (E$6+F$6),1,0))</f>
        <v>0</v>
      </c>
      <c r="G33" s="120">
        <f>IF(G32 = 0,
0,
IF(G30 = (G$6+H$6),1,0))</f>
        <v>0</v>
      </c>
      <c r="H33" s="120">
        <f>IF(H32 = 0,
0,
IF(H30 = (G$6+H$6),1,0))</f>
        <v>0</v>
      </c>
      <c r="I33" s="120">
        <f>IF(I32 = 0,
0,
IF(I30 = (I$6+J$6),1,0))</f>
        <v>0</v>
      </c>
      <c r="J33" s="120">
        <f>IF(J32 = 0,
0,
IF(J30 = (I$6+J$6),1,0))</f>
        <v>0</v>
      </c>
      <c r="K33" s="120">
        <f>IF(K32 = 0,
0,
IF(K30 = (K$6+L$6),1,0))</f>
        <v>0</v>
      </c>
      <c r="L33" s="120">
        <f>IF(L32 = 0,
0,
IF(L30 = (K$6+L$6),1,0))</f>
        <v>0</v>
      </c>
      <c r="M33" s="120">
        <f>IF(M32 = 0,
0,
IF(M30 = (M$6+N$6),1,0))</f>
        <v>0</v>
      </c>
      <c r="N33" s="120">
        <f>IF(N32 = 0,
0,
IF(N30 = (M$6+N$6),1,0))</f>
        <v>0</v>
      </c>
      <c r="O33" s="120">
        <f>IF(O32 = 0,
0,
IF(O30 = (O$6+P$6),1,0))</f>
        <v>0</v>
      </c>
      <c r="P33" s="120">
        <f>IF(P32 = 0,
0,
IF(P30 = (O$6+P$6),1,0))</f>
        <v>0</v>
      </c>
      <c r="Q33" s="120">
        <f>IF(Q32 = 0,
0,
IF(Q30 = (Q$6+R$6),1,0))</f>
        <v>1</v>
      </c>
      <c r="R33" s="120">
        <f>IF(R32 = 0,
0,
IF(R30 = (Q$6+R$6),1,0))</f>
        <v>0</v>
      </c>
      <c r="S33" s="142"/>
      <c r="T33" s="77"/>
      <c r="U33" s="77"/>
      <c r="V33" s="77"/>
      <c r="W33" s="77"/>
      <c r="X33" s="77"/>
      <c r="Y33" s="77"/>
      <c r="Z33" s="77"/>
      <c r="AA33" s="77"/>
      <c r="AB33" s="142"/>
      <c r="AC33" s="120"/>
      <c r="AD33" s="120"/>
      <c r="AE33" s="120"/>
      <c r="AF33" s="120"/>
      <c r="AG33" s="142"/>
      <c r="AH33" s="120"/>
      <c r="AI33" s="120"/>
      <c r="AJ33" s="142"/>
      <c r="AK33" s="143">
        <f>SUM(C33:AI33)</f>
        <v>1</v>
      </c>
      <c r="AL33" s="125"/>
    </row>
    <row r="34" spans="1:38" s="27" customFormat="1" ht="12.75" customHeight="1" x14ac:dyDescent="0.2">
      <c r="A34" s="177">
        <f>RANK(AL34,$AL$10:$AL$97,)</f>
        <v>6</v>
      </c>
      <c r="B34" s="201" t="s">
        <v>73</v>
      </c>
      <c r="C34" s="189">
        <v>5</v>
      </c>
      <c r="D34" s="190"/>
      <c r="E34" s="191">
        <v>6</v>
      </c>
      <c r="F34" s="190"/>
      <c r="G34" s="192"/>
      <c r="H34" s="263">
        <v>7</v>
      </c>
      <c r="I34" s="191"/>
      <c r="J34" s="193">
        <v>6</v>
      </c>
      <c r="K34" s="194">
        <v>5</v>
      </c>
      <c r="L34" s="193"/>
      <c r="M34" s="191"/>
      <c r="N34" s="190">
        <v>7</v>
      </c>
      <c r="O34" s="191">
        <v>5</v>
      </c>
      <c r="P34" s="190"/>
      <c r="Q34" s="192"/>
      <c r="R34" s="195">
        <v>6</v>
      </c>
      <c r="S34" s="196">
        <f>SUM(C35:R35)</f>
        <v>35</v>
      </c>
      <c r="T34" s="189"/>
      <c r="U34" s="193">
        <v>7</v>
      </c>
      <c r="V34" s="191"/>
      <c r="W34" s="193">
        <v>7</v>
      </c>
      <c r="X34" s="194">
        <v>6</v>
      </c>
      <c r="Y34" s="190"/>
      <c r="Z34" s="192">
        <v>6</v>
      </c>
      <c r="AA34" s="193"/>
      <c r="AB34" s="196">
        <f>SUM(T35:AA35)</f>
        <v>0</v>
      </c>
      <c r="AC34" s="192"/>
      <c r="AD34" s="193"/>
      <c r="AE34" s="194"/>
      <c r="AF34" s="193"/>
      <c r="AG34" s="196">
        <f>SUM(AC35:AF35)</f>
        <v>0</v>
      </c>
      <c r="AH34" s="199"/>
      <c r="AI34" s="187"/>
      <c r="AJ34" s="196">
        <f>AH35</f>
        <v>0</v>
      </c>
      <c r="AK34" s="198">
        <f>MAX($AL$10:$AL$97) - AL34</f>
        <v>9</v>
      </c>
      <c r="AL34" s="196">
        <f>$S34+$AB34+$AG34+$AJ34</f>
        <v>35</v>
      </c>
    </row>
    <row r="35" spans="1:38" s="27" customFormat="1" ht="12.75" hidden="1" customHeight="1" x14ac:dyDescent="0.2">
      <c r="A35" s="119" t="e">
        <f>RANK(AL35,$AL$10:$AL$97,)</f>
        <v>#N/A</v>
      </c>
      <c r="B35" s="100"/>
      <c r="C35" s="77">
        <f>(IF($C34&lt;&gt;"",($C$6*$O$104)+IF($C$6=4,($O$102)+IF($C34=$C$6+$D$6,$O$103,0),0),0)+IF($D34&lt;&gt;"",($D$6*$O$104)+IF($D$6=4,($O$102)+IF($D34=$C$6+$D$6,$O$103,0),0),0))</f>
        <v>0</v>
      </c>
      <c r="D35" s="78"/>
      <c r="E35" s="79">
        <f>(IF($E34&lt;&gt;"",($E$6*$O$104)+IF($E$6=4,($O$102)+IF($E34=$E$6+$F$6,$O$103,0),0),0)+IF($F34&lt;&gt;"",($F$6*$O$104)+IF($F$6=4,($O$102)+IF($F34=$E$6+$F$6,$O$103,0),0),0))</f>
        <v>9</v>
      </c>
      <c r="F35" s="78"/>
      <c r="G35" s="79">
        <f>(IF($G34&lt;&gt;"",($G$6*$O$104)+IF($G$6=4,($O$102)+IF($G34=$G$6+$H$6,$O$103,0),0),0)+IF($H34&lt;&gt;"",($H$6*$O$104)+IF($H$6=4,($O$102)+IF($H34=$G$6+$H$6,$O$103,0),0),0))</f>
        <v>11</v>
      </c>
      <c r="H35" s="78"/>
      <c r="I35" s="79">
        <f>(IF($I34&lt;&gt;"",($I$6*$O$104)+IF($I$6=4,($O$102)+IF($I34=$I$6+$J$6,$O$103,0),0),0)+IF($J34&lt;&gt;"",($J$6*$O$104)+IF($J$6=4,($O$102)+IF($J34=$I$6+$J$6,$O$103,0),0),0))</f>
        <v>0</v>
      </c>
      <c r="J35" s="80"/>
      <c r="K35" s="81">
        <f>(IF($K34&lt;&gt;"",($K$6*$O$104)+IF($K$6=4,($O$102)+IF($K34=$K$6+$L$6,$O$103,0),0),0)+IF($L34&lt;&gt;"",($L$6*$O$104)+IF($L$6=4,($O$102)+IF($L34=$K$6+$L$6,$O$103,0),0),0))</f>
        <v>1</v>
      </c>
      <c r="L35" s="78"/>
      <c r="M35" s="79">
        <f>(IF($M34&lt;&gt;"",($M$6*$O$104)+IF($M$6=4,($O$102)+IF($M34=$M$6+$N$6,$O$103,0),0),0)+IF($N34&lt;&gt;"",($N$6*$O$104)+IF($N$6=4,($O$102)+IF($N34=$M$6+$N$6,$O$103,0),0),0))</f>
        <v>9</v>
      </c>
      <c r="N35" s="78"/>
      <c r="O35" s="79">
        <f>(IF($O34&lt;&gt;"",($O$6*$O$104)+IF($O$6=4,($O$102)+IF($O34=$O$6+$P$6,$O$103,0),0),0)+IF($P34&lt;&gt;"",($P$6*$O$104)+IF($P$6=4,($O$102)+IF($P34=$O$6+$P$6,$O$103,0),0),0))</f>
        <v>2</v>
      </c>
      <c r="P35" s="78"/>
      <c r="Q35" s="79">
        <f>(IF($Q34&lt;&gt;"",($Q$6*$O$104)+IF($Q$6=4,($O$102)+IF($Q34=$Q$6+$R$6,$O$103,0),0),0)+IF($R34&lt;&gt;"",($R$6*$O$104)+IF($R$6=4,($O$102)+IF($R34=$Q$6+$R$6,$O$103,0),0),0))</f>
        <v>3</v>
      </c>
      <c r="R35" s="82"/>
      <c r="S35" s="123"/>
      <c r="T35" s="59"/>
      <c r="U35" s="60"/>
      <c r="V35" s="61"/>
      <c r="W35" s="62"/>
      <c r="X35" s="63"/>
      <c r="Y35" s="60"/>
      <c r="Z35" s="61"/>
      <c r="AA35" s="87"/>
      <c r="AB35" s="123"/>
      <c r="AC35" s="87"/>
      <c r="AD35" s="62"/>
      <c r="AE35" s="63"/>
      <c r="AF35" s="87"/>
      <c r="AG35" s="123"/>
      <c r="AH35" s="87"/>
      <c r="AI35" s="64"/>
      <c r="AJ35" s="123"/>
      <c r="AK35" s="94">
        <f>MAX($AL$10:$AL$97) - AL35</f>
        <v>44</v>
      </c>
      <c r="AL35" s="123"/>
    </row>
    <row r="36" spans="1:38" s="27" customFormat="1" hidden="1" x14ac:dyDescent="0.2">
      <c r="A36" s="101"/>
      <c r="B36" s="126" t="s">
        <v>52</v>
      </c>
      <c r="C36" s="120">
        <f>IF(ISBLANK(C34),
0,
IF(C$6= 4, 1, 0))</f>
        <v>0</v>
      </c>
      <c r="D36" s="120">
        <f>IF(ISBLANK(D34),
0,
IF(D$6 = 4, 1, 0))</f>
        <v>0</v>
      </c>
      <c r="E36" s="120">
        <f>IF(ISBLANK(E34),
0,
IF(E$6= 4, 1, 0))</f>
        <v>1</v>
      </c>
      <c r="F36" s="120">
        <f>IF(ISBLANK(F34),
0,
IF(F$6 = 4, 1, 0))</f>
        <v>0</v>
      </c>
      <c r="G36" s="120">
        <f>IF(ISBLANK(G34),
0,
IF(G$6= 4, 1, 0))</f>
        <v>0</v>
      </c>
      <c r="H36" s="120">
        <f>IF(ISBLANK(H34),
0,
IF(H$6 = 4, 1, 0))</f>
        <v>1</v>
      </c>
      <c r="I36" s="120">
        <f>IF(ISBLANK(I34),
0,
IF(I$6= 4, 1, 0))</f>
        <v>0</v>
      </c>
      <c r="J36" s="120">
        <f>IF(ISBLANK(J34),
0,
IF(J$6 = 4, 1, 0))</f>
        <v>0</v>
      </c>
      <c r="K36" s="120">
        <f>IF(ISBLANK(K34),
0,
IF(K$6= 4, 1, 0))</f>
        <v>0</v>
      </c>
      <c r="L36" s="120">
        <f>IF(ISBLANK(L34),
0,
IF(L$6 = 4, 1, 0))</f>
        <v>0</v>
      </c>
      <c r="M36" s="120">
        <f>IF(ISBLANK(M34),
0,
IF(M$6= 4, 1, 0))</f>
        <v>0</v>
      </c>
      <c r="N36" s="120">
        <f>IF(ISBLANK(N34),
0,
IF(N$6 = 4, 1, 0))</f>
        <v>1</v>
      </c>
      <c r="O36" s="120">
        <f>IF(ISBLANK(O34),
0,
IF(O$6= 4, 1, 0))</f>
        <v>0</v>
      </c>
      <c r="P36" s="120">
        <f>IF(ISBLANK(P34),
0,
IF(P$6 = 4, 1, 0))</f>
        <v>0</v>
      </c>
      <c r="Q36" s="120">
        <f>IF(ISBLANK(Q34),
0,
IF(Q$6= 4, 1, 0))</f>
        <v>0</v>
      </c>
      <c r="R36" s="120">
        <f>IF(ISBLANK(R34),
0,
IF(R$6 = 4, 1, 0))</f>
        <v>0</v>
      </c>
      <c r="S36" s="142"/>
      <c r="T36" s="77"/>
      <c r="U36" s="77"/>
      <c r="V36" s="77"/>
      <c r="W36" s="77"/>
      <c r="X36" s="77"/>
      <c r="Y36" s="77"/>
      <c r="Z36" s="77"/>
      <c r="AA36" s="77"/>
      <c r="AB36" s="142"/>
      <c r="AC36" s="120"/>
      <c r="AD36" s="120"/>
      <c r="AE36" s="120"/>
      <c r="AF36" s="120"/>
      <c r="AG36" s="142"/>
      <c r="AH36" s="120"/>
      <c r="AI36" s="120"/>
      <c r="AJ36" s="142"/>
      <c r="AK36" s="143">
        <f>SUM(C36:AI36)</f>
        <v>3</v>
      </c>
      <c r="AL36" s="125"/>
    </row>
    <row r="37" spans="1:38" s="27" customFormat="1" hidden="1" x14ac:dyDescent="0.2">
      <c r="A37" s="101"/>
      <c r="B37" s="126" t="s">
        <v>53</v>
      </c>
      <c r="C37" s="120">
        <f>IF(C36 = 0,
0,
IF(C34 = (C$6+D$6),1,0))</f>
        <v>0</v>
      </c>
      <c r="D37" s="120">
        <f>IF(D36 = 0,
0,
IF(D34 = (C$6+D$6),1,0))</f>
        <v>0</v>
      </c>
      <c r="E37" s="120">
        <f>IF(E36 = 0,
0,
IF(E34 = (E$6+F$6),1,0))</f>
        <v>0</v>
      </c>
      <c r="F37" s="120">
        <f>IF(F36 = 0,
0,
IF(F34 = (E$6+F$6),1,0))</f>
        <v>0</v>
      </c>
      <c r="G37" s="120">
        <f>IF(G36 = 0,
0,
IF(G34 = (G$6+H$6),1,0))</f>
        <v>0</v>
      </c>
      <c r="H37" s="120">
        <f>IF(H36 = 0,
0,
IF(H34 = (G$6+H$6),1,0))</f>
        <v>1</v>
      </c>
      <c r="I37" s="120">
        <f>IF(I36 = 0,
0,
IF(I34 = (I$6+J$6),1,0))</f>
        <v>0</v>
      </c>
      <c r="J37" s="120">
        <f>IF(J36 = 0,
0,
IF(J34 = (I$6+J$6),1,0))</f>
        <v>0</v>
      </c>
      <c r="K37" s="120">
        <f>IF(K36 = 0,
0,
IF(K34 = (K$6+L$6),1,0))</f>
        <v>0</v>
      </c>
      <c r="L37" s="120">
        <f>IF(L36 = 0,
0,
IF(L34 = (K$6+L$6),1,0))</f>
        <v>0</v>
      </c>
      <c r="M37" s="120">
        <f>IF(M36 = 0,
0,
IF(M34 = (M$6+N$6),1,0))</f>
        <v>0</v>
      </c>
      <c r="N37" s="120">
        <f>IF(N36 = 0,
0,
IF(N34 = (M$6+N$6),1,0))</f>
        <v>0</v>
      </c>
      <c r="O37" s="120">
        <f>IF(O36 = 0,
0,
IF(O34 = (O$6+P$6),1,0))</f>
        <v>0</v>
      </c>
      <c r="P37" s="120">
        <f>IF(P36 = 0,
0,
IF(P34 = (O$6+P$6),1,0))</f>
        <v>0</v>
      </c>
      <c r="Q37" s="120">
        <f>IF(Q36 = 0,
0,
IF(Q34 = (Q$6+R$6),1,0))</f>
        <v>0</v>
      </c>
      <c r="R37" s="120">
        <f>IF(R36 = 0,
0,
IF(R34 = (Q$6+R$6),1,0))</f>
        <v>0</v>
      </c>
      <c r="S37" s="142"/>
      <c r="T37" s="77"/>
      <c r="U37" s="77"/>
      <c r="V37" s="77"/>
      <c r="W37" s="77"/>
      <c r="X37" s="77"/>
      <c r="Y37" s="77"/>
      <c r="Z37" s="77"/>
      <c r="AA37" s="77"/>
      <c r="AB37" s="142"/>
      <c r="AC37" s="120"/>
      <c r="AD37" s="120"/>
      <c r="AE37" s="120"/>
      <c r="AF37" s="120"/>
      <c r="AG37" s="142"/>
      <c r="AH37" s="120"/>
      <c r="AI37" s="120"/>
      <c r="AJ37" s="142"/>
      <c r="AK37" s="143">
        <f>SUM(C37:AI37)</f>
        <v>1</v>
      </c>
      <c r="AL37" s="125"/>
    </row>
    <row r="38" spans="1:38" s="27" customFormat="1" ht="12.75" customHeight="1" x14ac:dyDescent="0.2">
      <c r="A38" s="119">
        <f>RANK(AL38,$AL$10:$AL$97,)</f>
        <v>8</v>
      </c>
      <c r="B38" s="86" t="s">
        <v>64</v>
      </c>
      <c r="C38" s="46">
        <v>7</v>
      </c>
      <c r="D38" s="45"/>
      <c r="E38" s="258">
        <v>6</v>
      </c>
      <c r="F38" s="45"/>
      <c r="G38" s="259"/>
      <c r="H38" s="47">
        <v>6</v>
      </c>
      <c r="I38" s="258"/>
      <c r="J38" s="47">
        <v>7</v>
      </c>
      <c r="K38" s="49">
        <v>5</v>
      </c>
      <c r="L38" s="47"/>
      <c r="M38" s="44">
        <v>7</v>
      </c>
      <c r="N38" s="45"/>
      <c r="O38" s="44">
        <v>6</v>
      </c>
      <c r="P38" s="45"/>
      <c r="Q38" s="48">
        <v>6</v>
      </c>
      <c r="R38" s="50"/>
      <c r="S38" s="124">
        <f>SUM(C39:R39)</f>
        <v>32</v>
      </c>
      <c r="T38" s="46"/>
      <c r="U38" s="47">
        <v>7</v>
      </c>
      <c r="V38" s="44"/>
      <c r="W38" s="47">
        <v>6</v>
      </c>
      <c r="X38" s="49">
        <v>7</v>
      </c>
      <c r="Y38" s="45"/>
      <c r="Z38" s="48">
        <v>6</v>
      </c>
      <c r="AA38" s="47"/>
      <c r="AB38" s="124">
        <f>SUM(T39:AA39)</f>
        <v>0</v>
      </c>
      <c r="AC38" s="48"/>
      <c r="AD38" s="47"/>
      <c r="AE38" s="49"/>
      <c r="AF38" s="47"/>
      <c r="AG38" s="124">
        <f>SUM(AC39:AF39)</f>
        <v>0</v>
      </c>
      <c r="AH38" s="104"/>
      <c r="AI38" s="57"/>
      <c r="AJ38" s="124">
        <f>AH39</f>
        <v>0</v>
      </c>
      <c r="AK38" s="113">
        <f>MAX($AL$10:$AL$97) - AL38</f>
        <v>12</v>
      </c>
      <c r="AL38" s="124">
        <f>$S38+$AB38+$AG38+$AJ38</f>
        <v>32</v>
      </c>
    </row>
    <row r="39" spans="1:38" s="27" customFormat="1" ht="12.75" hidden="1" customHeight="1" x14ac:dyDescent="0.2">
      <c r="A39" s="119" t="e">
        <f>RANK(AL39,$AL$10:$AL$97,)</f>
        <v>#N/A</v>
      </c>
      <c r="B39" s="100"/>
      <c r="C39" s="120">
        <f>(IF($C38&lt;&gt;"",($C$6*$O$104)+IF($C$6=4,($O$102)+IF($C38=$C$6+$D$6,$O$103,0),0),0)+IF($D38&lt;&gt;"",($D$6*$O$104)+IF($D$6=4,($O$102)+IF($D38=$C$6+$D$6,$O$103,0),0),0))</f>
        <v>0</v>
      </c>
      <c r="D39" s="78"/>
      <c r="E39" s="118">
        <f>(IF($E38&lt;&gt;"",($E$6*$O$104)+IF($E$6=4,($O$102)+IF($E38=$E$6+$F$6,$O$103,0),0),0)+IF($F38&lt;&gt;"",($F$6*$O$104)+IF($F$6=4,($O$102)+IF($F38=$E$6+$F$6,$O$103,0),0),0))</f>
        <v>9</v>
      </c>
      <c r="F39" s="78"/>
      <c r="G39" s="121">
        <f>(IF($G38&lt;&gt;"",($G$6*$O$104)+IF($G$6=4,($O$102)+IF($G38=$G$6+$H$6,$O$103,0),0),0)+IF($H38&lt;&gt;"",($H$6*$O$104)+IF($H$6=4,($O$102)+IF($H38=$G$6+$H$6,$O$103,0),0),0))</f>
        <v>9</v>
      </c>
      <c r="H39" s="78"/>
      <c r="I39" s="118">
        <f>(IF($I38&lt;&gt;"",($I$6*$O$104)+IF($I$6=4,($O$102)+IF($I38=$I$6+$J$6,$O$103,0),0),0)+IF($J38&lt;&gt;"",($J$6*$O$104)+IF($J$6=4,($O$102)+IF($J38=$I$6+$J$6,$O$103,0),0),0))</f>
        <v>0</v>
      </c>
      <c r="J39" s="80"/>
      <c r="K39" s="81">
        <f>(IF($K38&lt;&gt;"",($K$6*$O$104)+IF($K$6=4,($O$102)+IF($K38=$K$6+$L$6,$O$103,0),0),0)+IF($L38&lt;&gt;"",($L$6*$O$104)+IF($L$6=4,($O$102)+IF($L38=$K$6+$L$6,$O$103,0),0),0))</f>
        <v>1</v>
      </c>
      <c r="L39" s="78"/>
      <c r="M39" s="79">
        <f>(IF($M38&lt;&gt;"",($M$6*$O$104)+IF($M$6=4,($O$102)+IF($M38=$M$6+$N$6,$O$103,0),0),0)+IF($N38&lt;&gt;"",($N$6*$O$104)+IF($N$6=4,($O$102)+IF($N38=$M$6+$N$6,$O$103,0),0),0))</f>
        <v>2</v>
      </c>
      <c r="N39" s="78"/>
      <c r="O39" s="79">
        <f>(IF($O38&lt;&gt;"",($O$6*$O$104)+IF($O$6=4,($O$102)+IF($O38=$O$6+$P$6,$O$103,0),0),0)+IF($P38&lt;&gt;"",($P$6*$O$104)+IF($P$6=4,($O$102)+IF($P38=$O$6+$P$6,$O$103,0),0),0))</f>
        <v>2</v>
      </c>
      <c r="P39" s="78"/>
      <c r="Q39" s="79">
        <f>(IF($Q38&lt;&gt;"",($Q$6*$O$104)+IF($Q$6=4,($O$102)+IF($Q38=$Q$6+$R$6,$O$103,0),0),0)+IF($R38&lt;&gt;"",($R$6*$O$104)+IF($R$6=4,($O$102)+IF($R38=$Q$6+$R$6,$O$103,0),0),0))</f>
        <v>9</v>
      </c>
      <c r="R39" s="82"/>
      <c r="S39" s="123"/>
      <c r="T39" s="59"/>
      <c r="U39" s="60"/>
      <c r="V39" s="61"/>
      <c r="W39" s="62"/>
      <c r="X39" s="63"/>
      <c r="Y39" s="60"/>
      <c r="Z39" s="61"/>
      <c r="AA39" s="87"/>
      <c r="AB39" s="123"/>
      <c r="AC39" s="87"/>
      <c r="AD39" s="62"/>
      <c r="AE39" s="63"/>
      <c r="AF39" s="87"/>
      <c r="AG39" s="123"/>
      <c r="AH39" s="87"/>
      <c r="AI39" s="64"/>
      <c r="AJ39" s="123"/>
      <c r="AK39" s="94">
        <f>MAX($AL$10:$AL$97) - AL39</f>
        <v>44</v>
      </c>
      <c r="AL39" s="123"/>
    </row>
    <row r="40" spans="1:38" s="27" customFormat="1" hidden="1" x14ac:dyDescent="0.2">
      <c r="A40" s="101"/>
      <c r="B40" s="126" t="s">
        <v>52</v>
      </c>
      <c r="C40" s="120">
        <f>IF(ISBLANK(C38),
0,
IF(C$6= 4, 1, 0))</f>
        <v>0</v>
      </c>
      <c r="D40" s="120">
        <f>IF(ISBLANK(D38),
0,
IF(D$6 = 4, 1, 0))</f>
        <v>0</v>
      </c>
      <c r="E40" s="120">
        <f>IF(ISBLANK(E38),
0,
IF(E$6= 4, 1, 0))</f>
        <v>1</v>
      </c>
      <c r="F40" s="120">
        <f>IF(ISBLANK(F38),
0,
IF(F$6 = 4, 1, 0))</f>
        <v>0</v>
      </c>
      <c r="G40" s="120">
        <f>IF(ISBLANK(G38),
0,
IF(G$6= 4, 1, 0))</f>
        <v>0</v>
      </c>
      <c r="H40" s="120">
        <f>IF(ISBLANK(H38),
0,
IF(H$6 = 4, 1, 0))</f>
        <v>1</v>
      </c>
      <c r="I40" s="120">
        <f>IF(ISBLANK(I38),
0,
IF(I$6= 4, 1, 0))</f>
        <v>0</v>
      </c>
      <c r="J40" s="120">
        <f>IF(ISBLANK(J38),
0,
IF(J$6 = 4, 1, 0))</f>
        <v>0</v>
      </c>
      <c r="K40" s="120">
        <f>IF(ISBLANK(K38),
0,
IF(K$6= 4, 1, 0))</f>
        <v>0</v>
      </c>
      <c r="L40" s="120">
        <f>IF(ISBLANK(L38),
0,
IF(L$6 = 4, 1, 0))</f>
        <v>0</v>
      </c>
      <c r="M40" s="120">
        <f>IF(ISBLANK(M38),
0,
IF(M$6= 4, 1, 0))</f>
        <v>0</v>
      </c>
      <c r="N40" s="120">
        <f>IF(ISBLANK(N38),
0,
IF(N$6 = 4, 1, 0))</f>
        <v>0</v>
      </c>
      <c r="O40" s="120">
        <f>IF(ISBLANK(O38),
0,
IF(O$6= 4, 1, 0))</f>
        <v>0</v>
      </c>
      <c r="P40" s="120">
        <f>IF(ISBLANK(P38),
0,
IF(P$6 = 4, 1, 0))</f>
        <v>0</v>
      </c>
      <c r="Q40" s="120">
        <f>IF(ISBLANK(Q38),
0,
IF(Q$6= 4, 1, 0))</f>
        <v>1</v>
      </c>
      <c r="R40" s="120">
        <f>IF(ISBLANK(R38),
0,
IF(R$6 = 4, 1, 0))</f>
        <v>0</v>
      </c>
      <c r="S40" s="142"/>
      <c r="T40" s="77"/>
      <c r="U40" s="77"/>
      <c r="V40" s="77"/>
      <c r="W40" s="77"/>
      <c r="X40" s="77"/>
      <c r="Y40" s="77"/>
      <c r="Z40" s="77"/>
      <c r="AA40" s="77"/>
      <c r="AB40" s="142"/>
      <c r="AC40" s="120"/>
      <c r="AD40" s="120"/>
      <c r="AE40" s="120"/>
      <c r="AF40" s="120"/>
      <c r="AG40" s="142"/>
      <c r="AH40" s="120"/>
      <c r="AI40" s="120"/>
      <c r="AJ40" s="142"/>
      <c r="AK40" s="143">
        <f>SUM(C40:AI40)</f>
        <v>3</v>
      </c>
      <c r="AL40" s="125"/>
    </row>
    <row r="41" spans="1:38" s="27" customFormat="1" hidden="1" x14ac:dyDescent="0.2">
      <c r="A41" s="101"/>
      <c r="B41" s="126" t="s">
        <v>53</v>
      </c>
      <c r="C41" s="120">
        <f>IF(C40 = 0,
0,
IF(C38 = (C$6+D$6),1,0))</f>
        <v>0</v>
      </c>
      <c r="D41" s="120">
        <f>IF(D40 = 0,
0,
IF(D38 = (C$6+D$6),1,0))</f>
        <v>0</v>
      </c>
      <c r="E41" s="120">
        <f>IF(E40 = 0,
0,
IF(E38 = (E$6+F$6),1,0))</f>
        <v>0</v>
      </c>
      <c r="F41" s="120">
        <f>IF(F40 = 0,
0,
IF(F38 = (E$6+F$6),1,0))</f>
        <v>0</v>
      </c>
      <c r="G41" s="120">
        <f>IF(G40 = 0,
0,
IF(G38 = (G$6+H$6),1,0))</f>
        <v>0</v>
      </c>
      <c r="H41" s="120">
        <f>IF(H40 = 0,
0,
IF(H38 = (G$6+H$6),1,0))</f>
        <v>0</v>
      </c>
      <c r="I41" s="120">
        <f>IF(I40 = 0,
0,
IF(I38 = (I$6+J$6),1,0))</f>
        <v>0</v>
      </c>
      <c r="J41" s="120">
        <f>IF(J40 = 0,
0,
IF(J38 = (I$6+J$6),1,0))</f>
        <v>0</v>
      </c>
      <c r="K41" s="120">
        <f>IF(K40 = 0,
0,
IF(K38 = (K$6+L$6),1,0))</f>
        <v>0</v>
      </c>
      <c r="L41" s="120">
        <f>IF(L40 = 0,
0,
IF(L38 = (K$6+L$6),1,0))</f>
        <v>0</v>
      </c>
      <c r="M41" s="120">
        <f>IF(M40 = 0,
0,
IF(M38 = (M$6+N$6),1,0))</f>
        <v>0</v>
      </c>
      <c r="N41" s="120">
        <f>IF(N40 = 0,
0,
IF(N38 = (M$6+N$6),1,0))</f>
        <v>0</v>
      </c>
      <c r="O41" s="120">
        <f>IF(O40 = 0,
0,
IF(O38 = (O$6+P$6),1,0))</f>
        <v>0</v>
      </c>
      <c r="P41" s="120">
        <f>IF(P40 = 0,
0,
IF(P38 = (O$6+P$6),1,0))</f>
        <v>0</v>
      </c>
      <c r="Q41" s="120">
        <f>IF(Q40 = 0,
0,
IF(Q38 = (Q$6+R$6),1,0))</f>
        <v>0</v>
      </c>
      <c r="R41" s="120">
        <f>IF(R40 = 0,
0,
IF(R38 = (Q$6+R$6),1,0))</f>
        <v>0</v>
      </c>
      <c r="S41" s="142"/>
      <c r="T41" s="77"/>
      <c r="U41" s="77"/>
      <c r="V41" s="77"/>
      <c r="W41" s="77"/>
      <c r="X41" s="77"/>
      <c r="Y41" s="77"/>
      <c r="Z41" s="77"/>
      <c r="AA41" s="77"/>
      <c r="AB41" s="142"/>
      <c r="AC41" s="120"/>
      <c r="AD41" s="120"/>
      <c r="AE41" s="120"/>
      <c r="AF41" s="120"/>
      <c r="AG41" s="142"/>
      <c r="AH41" s="120"/>
      <c r="AI41" s="120"/>
      <c r="AJ41" s="142"/>
      <c r="AK41" s="143">
        <f>SUM(C41:AI41)</f>
        <v>0</v>
      </c>
      <c r="AL41" s="125"/>
    </row>
    <row r="42" spans="1:38" s="27" customFormat="1" ht="12.75" customHeight="1" x14ac:dyDescent="0.2">
      <c r="A42" s="177">
        <f>RANK(AL42,$AL$10:$AL$97,)</f>
        <v>9</v>
      </c>
      <c r="B42" s="201" t="s">
        <v>79</v>
      </c>
      <c r="C42" s="189">
        <v>6</v>
      </c>
      <c r="D42" s="190"/>
      <c r="E42" s="191"/>
      <c r="F42" s="190">
        <v>7</v>
      </c>
      <c r="G42" s="192">
        <v>6</v>
      </c>
      <c r="H42" s="193"/>
      <c r="I42" s="191"/>
      <c r="J42" s="193">
        <v>6</v>
      </c>
      <c r="K42" s="194"/>
      <c r="L42" s="193">
        <v>6</v>
      </c>
      <c r="M42" s="191"/>
      <c r="N42" s="253">
        <v>6</v>
      </c>
      <c r="O42" s="191">
        <v>5</v>
      </c>
      <c r="P42" s="190"/>
      <c r="Q42" s="192"/>
      <c r="R42" s="195">
        <v>6</v>
      </c>
      <c r="S42" s="196">
        <f>SUM(C43:R43)</f>
        <v>31</v>
      </c>
      <c r="T42" s="189"/>
      <c r="U42" s="193">
        <v>5</v>
      </c>
      <c r="V42" s="191">
        <v>6</v>
      </c>
      <c r="W42" s="193"/>
      <c r="X42" s="194">
        <v>6</v>
      </c>
      <c r="Y42" s="190"/>
      <c r="Z42" s="192"/>
      <c r="AA42" s="193">
        <v>6</v>
      </c>
      <c r="AB42" s="196">
        <f>SUM(T43:AA43)</f>
        <v>0</v>
      </c>
      <c r="AC42" s="192"/>
      <c r="AD42" s="193"/>
      <c r="AE42" s="194"/>
      <c r="AF42" s="193"/>
      <c r="AG42" s="196">
        <f>SUM(AC43:AF43)</f>
        <v>0</v>
      </c>
      <c r="AH42" s="199"/>
      <c r="AI42" s="187"/>
      <c r="AJ42" s="196">
        <f>AH43</f>
        <v>0</v>
      </c>
      <c r="AK42" s="198">
        <f>MAX($AL$10:$AL$97) - AL42</f>
        <v>13</v>
      </c>
      <c r="AL42" s="196">
        <f>$S42+$AB42+$AG42+$AJ42</f>
        <v>31</v>
      </c>
    </row>
    <row r="43" spans="1:38" s="27" customFormat="1" ht="12.75" hidden="1" customHeight="1" x14ac:dyDescent="0.2">
      <c r="A43" s="119" t="e">
        <f>RANK(AL43,$AL$10:$AL$97,)</f>
        <v>#N/A</v>
      </c>
      <c r="B43" s="100"/>
      <c r="C43" s="77">
        <f>(IF($C42&lt;&gt;"",($C$6*$O$104)+IF($C$6=4,($O$102)+IF($C42=$C$6+$D$6,$O$103,0),0),0)+IF($D42&lt;&gt;"",($D$6*$O$104)+IF($D$6=4,($O$102)+IF($D42=$C$6+$D$6,$O$103,0),0),0))</f>
        <v>0</v>
      </c>
      <c r="D43" s="78"/>
      <c r="E43" s="118">
        <f>(IF($E42&lt;&gt;"",($E$6*$O$104)+IF($E$6=4,($O$102)+IF($E42=$E$6+$F$6,$O$103,0),0),0)+IF($F42&lt;&gt;"",($F$6*$O$104)+IF($F$6=4,($O$102)+IF($F42=$E$6+$F$6,$O$103,0),0),0))</f>
        <v>3</v>
      </c>
      <c r="F43" s="78"/>
      <c r="G43" s="79">
        <f>(IF($G42&lt;&gt;"",($G$6*$O$104)+IF($G$6=4,($O$102)+IF($G42=$G$6+$H$6,$O$103,0),0),0)+IF($H42&lt;&gt;"",($H$6*$O$104)+IF($H$6=4,($O$102)+IF($H42=$G$6+$H$6,$O$103,0),0),0))</f>
        <v>3</v>
      </c>
      <c r="H43" s="78"/>
      <c r="I43" s="118">
        <f>(IF($I42&lt;&gt;"",($I$6*$O$104)+IF($I$6=4,($O$102)+IF($I42=$I$6+$J$6,$O$103,0),0),0)+IF($J42&lt;&gt;"",($J$6*$O$104)+IF($J$6=4,($O$102)+IF($J42=$I$6+$J$6,$O$103,0),0),0))</f>
        <v>0</v>
      </c>
      <c r="J43" s="80"/>
      <c r="K43" s="81">
        <f>(IF($K42&lt;&gt;"",($K$6*$O$104)+IF($K$6=4,($O$102)+IF($K42=$K$6+$L$6,$O$103,0),0),0)+IF($L42&lt;&gt;"",($L$6*$O$104)+IF($L$6=4,($O$102)+IF($L42=$K$6+$L$6,$O$103,0),0),0))</f>
        <v>9</v>
      </c>
      <c r="L43" s="78"/>
      <c r="M43" s="79">
        <f>(IF($M42&lt;&gt;"",($M$6*$O$104)+IF($M$6=4,($O$102)+IF($M42=$M$6+$N$6,$O$103,0),0),0)+IF($N42&lt;&gt;"",($N$6*$O$104)+IF($N$6=4,($O$102)+IF($N42=$M$6+$N$6,$O$103,0),0),0))</f>
        <v>11</v>
      </c>
      <c r="N43" s="155"/>
      <c r="O43" s="79">
        <f>(IF($O42&lt;&gt;"",($O$6*$O$104)+IF($O$6=4,($O$102)+IF($O42=$O$6+$P$6,$O$103,0),0),0)+IF($P42&lt;&gt;"",($P$6*$O$104)+IF($P$6=4,($O$102)+IF($P42=$O$6+$P$6,$O$103,0),0),0))</f>
        <v>2</v>
      </c>
      <c r="P43" s="78"/>
      <c r="Q43" s="79">
        <f>(IF($Q42&lt;&gt;"",($Q$6*$O$104)+IF($Q$6=4,($O$102)+IF($Q42=$Q$6+$R$6,$O$103,0),0),0)+IF($R42&lt;&gt;"",($R$6*$O$104)+IF($R$6=4,($O$102)+IF($R42=$Q$6+$R$6,$O$103,0),0),0))</f>
        <v>3</v>
      </c>
      <c r="R43" s="82"/>
      <c r="S43" s="123"/>
      <c r="T43" s="59"/>
      <c r="U43" s="60"/>
      <c r="V43" s="61"/>
      <c r="W43" s="62"/>
      <c r="X43" s="63"/>
      <c r="Y43" s="60"/>
      <c r="Z43" s="61"/>
      <c r="AA43" s="87"/>
      <c r="AB43" s="123"/>
      <c r="AC43" s="87"/>
      <c r="AD43" s="62"/>
      <c r="AE43" s="63"/>
      <c r="AF43" s="87"/>
      <c r="AG43" s="123"/>
      <c r="AH43" s="87"/>
      <c r="AI43" s="64"/>
      <c r="AJ43" s="123"/>
      <c r="AK43" s="113">
        <f>MAX($AL$10:$AL$97) - AL43</f>
        <v>44</v>
      </c>
      <c r="AL43" s="123"/>
    </row>
    <row r="44" spans="1:38" s="27" customFormat="1" hidden="1" x14ac:dyDescent="0.2">
      <c r="A44" s="101"/>
      <c r="B44" s="126" t="s">
        <v>52</v>
      </c>
      <c r="C44" s="120">
        <f>IF(ISBLANK(C42),
0,
IF(C$6= 4, 1, 0))</f>
        <v>0</v>
      </c>
      <c r="D44" s="120">
        <f>IF(ISBLANK(D42),
0,
IF(D$6 = 4, 1, 0))</f>
        <v>0</v>
      </c>
      <c r="E44" s="120">
        <f>IF(ISBLANK(E42),
0,
IF(E$6= 4, 1, 0))</f>
        <v>0</v>
      </c>
      <c r="F44" s="120">
        <f>IF(ISBLANK(F42),
0,
IF(F$6 = 4, 1, 0))</f>
        <v>0</v>
      </c>
      <c r="G44" s="120">
        <f>IF(ISBLANK(G42),
0,
IF(G$6= 4, 1, 0))</f>
        <v>0</v>
      </c>
      <c r="H44" s="120">
        <f>IF(ISBLANK(H42),
0,
IF(H$6 = 4, 1, 0))</f>
        <v>0</v>
      </c>
      <c r="I44" s="120">
        <f>IF(ISBLANK(I42),
0,
IF(I$6= 4, 1, 0))</f>
        <v>0</v>
      </c>
      <c r="J44" s="120">
        <f>IF(ISBLANK(J42),
0,
IF(J$6 = 4, 1, 0))</f>
        <v>0</v>
      </c>
      <c r="K44" s="120">
        <f>IF(ISBLANK(K42),
0,
IF(K$6= 4, 1, 0))</f>
        <v>0</v>
      </c>
      <c r="L44" s="120">
        <f>IF(ISBLANK(L42),
0,
IF(L$6 = 4, 1, 0))</f>
        <v>1</v>
      </c>
      <c r="M44" s="120">
        <f>IF(ISBLANK(M42),
0,
IF(M$6= 4, 1, 0))</f>
        <v>0</v>
      </c>
      <c r="N44" s="141">
        <f>IF(ISBLANK(N42),
0,
IF(N$6 = 4, 1, 0))</f>
        <v>1</v>
      </c>
      <c r="O44" s="120">
        <f>IF(ISBLANK(O42),
0,
IF(O$6= 4, 1, 0))</f>
        <v>0</v>
      </c>
      <c r="P44" s="120">
        <f>IF(ISBLANK(P42),
0,
IF(P$6 = 4, 1, 0))</f>
        <v>0</v>
      </c>
      <c r="Q44" s="120">
        <f>IF(ISBLANK(Q42),
0,
IF(Q$6= 4, 1, 0))</f>
        <v>0</v>
      </c>
      <c r="R44" s="120">
        <f>IF(ISBLANK(R42),
0,
IF(R$6 = 4, 1, 0))</f>
        <v>0</v>
      </c>
      <c r="S44" s="142"/>
      <c r="T44" s="77"/>
      <c r="U44" s="77"/>
      <c r="V44" s="77"/>
      <c r="W44" s="77"/>
      <c r="X44" s="77"/>
      <c r="Y44" s="77"/>
      <c r="Z44" s="77"/>
      <c r="AA44" s="77"/>
      <c r="AB44" s="142"/>
      <c r="AC44" s="120"/>
      <c r="AD44" s="120"/>
      <c r="AE44" s="120"/>
      <c r="AF44" s="120"/>
      <c r="AG44" s="142"/>
      <c r="AH44" s="120"/>
      <c r="AI44" s="120"/>
      <c r="AJ44" s="142"/>
      <c r="AK44" s="143">
        <f>SUM(C44:AI44)</f>
        <v>2</v>
      </c>
      <c r="AL44" s="125"/>
    </row>
    <row r="45" spans="1:38" s="27" customFormat="1" hidden="1" x14ac:dyDescent="0.2">
      <c r="A45" s="101"/>
      <c r="B45" s="126" t="s">
        <v>53</v>
      </c>
      <c r="C45" s="120">
        <f>IF(C44 = 0,
0,
IF(C42 = (C$6+D$6),1,0))</f>
        <v>0</v>
      </c>
      <c r="D45" s="120">
        <f>IF(D44 = 0,
0,
IF(D42 = (C$6+D$6),1,0))</f>
        <v>0</v>
      </c>
      <c r="E45" s="120">
        <f>IF(E44 = 0,
0,
IF(E42 = (E$6+F$6),1,0))</f>
        <v>0</v>
      </c>
      <c r="F45" s="120">
        <f>IF(F44 = 0,
0,
IF(F42 = (E$6+F$6),1,0))</f>
        <v>0</v>
      </c>
      <c r="G45" s="120">
        <f>IF(G44 = 0,
0,
IF(G42 = (G$6+H$6),1,0))</f>
        <v>0</v>
      </c>
      <c r="H45" s="120">
        <f>IF(H44 = 0,
0,
IF(H42 = (G$6+H$6),1,0))</f>
        <v>0</v>
      </c>
      <c r="I45" s="120">
        <f>IF(I44 = 0,
0,
IF(I42 = (I$6+J$6),1,0))</f>
        <v>0</v>
      </c>
      <c r="J45" s="120">
        <f>IF(J44 = 0,
0,
IF(J42 = (I$6+J$6),1,0))</f>
        <v>0</v>
      </c>
      <c r="K45" s="120">
        <f>IF(K44 = 0,
0,
IF(K42 = (K$6+L$6),1,0))</f>
        <v>0</v>
      </c>
      <c r="L45" s="120">
        <f>IF(L44 = 0,
0,
IF(L42 = (K$6+L$6),1,0))</f>
        <v>0</v>
      </c>
      <c r="M45" s="120">
        <f>IF(M44 = 0,
0,
IF(M42 = (M$6+N$6),1,0))</f>
        <v>0</v>
      </c>
      <c r="N45" s="141">
        <f>IF(N44 = 0,
0,
IF(N42 = (M$6+N$6),1,0))</f>
        <v>1</v>
      </c>
      <c r="O45" s="120">
        <f>IF(O44 = 0,
0,
IF(O42 = (O$6+P$6),1,0))</f>
        <v>0</v>
      </c>
      <c r="P45" s="120">
        <f>IF(P44 = 0,
0,
IF(P42 = (O$6+P$6),1,0))</f>
        <v>0</v>
      </c>
      <c r="Q45" s="120">
        <f>IF(Q44 = 0,
0,
IF(Q42 = (Q$6+R$6),1,0))</f>
        <v>0</v>
      </c>
      <c r="R45" s="120">
        <f>IF(R44 = 0,
0,
IF(R42 = (Q$6+R$6),1,0))</f>
        <v>0</v>
      </c>
      <c r="S45" s="142"/>
      <c r="T45" s="77"/>
      <c r="U45" s="77"/>
      <c r="V45" s="77"/>
      <c r="W45" s="77"/>
      <c r="X45" s="77"/>
      <c r="Y45" s="77"/>
      <c r="Z45" s="77"/>
      <c r="AA45" s="77"/>
      <c r="AB45" s="142"/>
      <c r="AC45" s="120"/>
      <c r="AD45" s="120"/>
      <c r="AE45" s="120"/>
      <c r="AF45" s="120"/>
      <c r="AG45" s="142"/>
      <c r="AH45" s="120"/>
      <c r="AI45" s="120"/>
      <c r="AJ45" s="142"/>
      <c r="AK45" s="143">
        <f>SUM(C45:AI45)</f>
        <v>1</v>
      </c>
      <c r="AL45" s="125"/>
    </row>
    <row r="46" spans="1:38" s="27" customFormat="1" ht="12.75" customHeight="1" x14ac:dyDescent="0.2">
      <c r="A46" s="119">
        <f>RANK(AL46,$AL$10:$AL$97,)</f>
        <v>10</v>
      </c>
      <c r="B46" s="86" t="s">
        <v>65</v>
      </c>
      <c r="C46" s="46">
        <v>4</v>
      </c>
      <c r="D46" s="45"/>
      <c r="E46" s="44">
        <v>4</v>
      </c>
      <c r="F46" s="45"/>
      <c r="G46" s="48">
        <v>6</v>
      </c>
      <c r="H46" s="47"/>
      <c r="I46" s="44">
        <v>6</v>
      </c>
      <c r="J46" s="47"/>
      <c r="K46" s="49">
        <v>7</v>
      </c>
      <c r="L46" s="47"/>
      <c r="M46" s="44">
        <v>5</v>
      </c>
      <c r="N46" s="45"/>
      <c r="O46" s="44">
        <v>4</v>
      </c>
      <c r="P46" s="45"/>
      <c r="Q46" s="48"/>
      <c r="R46" s="50">
        <v>6</v>
      </c>
      <c r="S46" s="124">
        <f>SUM(C47:R47)</f>
        <v>29</v>
      </c>
      <c r="T46" s="46">
        <v>6</v>
      </c>
      <c r="U46" s="47"/>
      <c r="V46" s="44">
        <v>5</v>
      </c>
      <c r="W46" s="47"/>
      <c r="X46" s="49"/>
      <c r="Y46" s="45">
        <v>7</v>
      </c>
      <c r="Z46" s="48">
        <v>6</v>
      </c>
      <c r="AA46" s="47"/>
      <c r="AB46" s="124">
        <f>SUM(T47:AA47)</f>
        <v>0</v>
      </c>
      <c r="AC46" s="48"/>
      <c r="AD46" s="47"/>
      <c r="AE46" s="49"/>
      <c r="AF46" s="47"/>
      <c r="AG46" s="124">
        <f>SUM(AC47:AF47)</f>
        <v>0</v>
      </c>
      <c r="AH46" s="104"/>
      <c r="AI46" s="57"/>
      <c r="AJ46" s="124">
        <f>AH47</f>
        <v>0</v>
      </c>
      <c r="AK46" s="113">
        <f>MAX($AL$10:$AL$97) - AL46</f>
        <v>15</v>
      </c>
      <c r="AL46" s="124">
        <f>$S46+$AB46+$AG46+$AJ46</f>
        <v>29</v>
      </c>
    </row>
    <row r="47" spans="1:38" s="27" customFormat="1" ht="12.75" hidden="1" customHeight="1" x14ac:dyDescent="0.2">
      <c r="A47" s="119" t="e">
        <f>RANK(AL47,$AL$10:$AL$97,)</f>
        <v>#N/A</v>
      </c>
      <c r="B47" s="100"/>
      <c r="C47" s="77">
        <f>(IF($C46&lt;&gt;"",($C$6*$O$104)+IF($C$6=4,($O$102)+IF($C46=$C$6+$D$6,$O$103,0),0),0)+IF($D46&lt;&gt;"",($D$6*$O$104)+IF($D$6=4,($O$102)+IF($D46=$C$6+$D$6,$O$103,0),0),0))</f>
        <v>0</v>
      </c>
      <c r="D47" s="78"/>
      <c r="E47" s="79">
        <f>(IF($E46&lt;&gt;"",($E$6*$O$104)+IF($E$6=4,($O$102)+IF($E46=$E$6+$F$6,$O$103,0),0),0)+IF($F46&lt;&gt;"",($F$6*$O$104)+IF($F$6=4,($O$102)+IF($F46=$E$6+$F$6,$O$103,0),0),0))</f>
        <v>9</v>
      </c>
      <c r="F47" s="78"/>
      <c r="G47" s="79">
        <f>(IF($G46&lt;&gt;"",($G$6*$O$104)+IF($G$6=4,($O$102)+IF($G46=$G$6+$H$6,$O$103,0),0),0)+IF($H46&lt;&gt;"",($H$6*$O$104)+IF($H$6=4,($O$102)+IF($H46=$G$6+$H$6,$O$103,0),0),0))</f>
        <v>3</v>
      </c>
      <c r="H47" s="78"/>
      <c r="I47" s="79">
        <f>(IF($I46&lt;&gt;"",($I$6*$O$104)+IF($I$6=4,($O$102)+IF($I46=$I$6+$J$6,$O$103,0),0),0)+IF($J46&lt;&gt;"",($J$6*$O$104)+IF($J$6=4,($O$102)+IF($J46=$I$6+$J$6,$O$103,0),0),0))</f>
        <v>9</v>
      </c>
      <c r="J47" s="80"/>
      <c r="K47" s="81">
        <f>(IF($K46&lt;&gt;"",($K$6*$O$104)+IF($K$6=4,($O$102)+IF($K46=$K$6+$L$6,$O$103,0),0),0)+IF($L46&lt;&gt;"",($L$6*$O$104)+IF($L$6=4,($O$102)+IF($L46=$K$6+$L$6,$O$103,0),0),0))</f>
        <v>1</v>
      </c>
      <c r="L47" s="78"/>
      <c r="M47" s="79">
        <f>(IF($M46&lt;&gt;"",($M$6*$O$104)+IF($M$6=4,($O$102)+IF($M46=$M$6+$N$6,$O$103,0),0),0)+IF($N46&lt;&gt;"",($N$6*$O$104)+IF($N$6=4,($O$102)+IF($N46=$M$6+$N$6,$O$103,0),0),0))</f>
        <v>2</v>
      </c>
      <c r="N47" s="78"/>
      <c r="O47" s="79">
        <f>(IF($O46&lt;&gt;"",($O$6*$O$104)+IF($O$6=4,($O$102)+IF($O46=$O$6+$P$6,$O$103,0),0),0)+IF($P46&lt;&gt;"",($P$6*$O$104)+IF($P$6=4,($O$102)+IF($P46=$O$6+$P$6,$O$103,0),0),0))</f>
        <v>2</v>
      </c>
      <c r="P47" s="78"/>
      <c r="Q47" s="79">
        <f>(IF($Q46&lt;&gt;"",($Q$6*$O$104)+IF($Q$6=4,($O$102)+IF($Q46=$Q$6+$R$6,$O$103,0),0),0)+IF($R46&lt;&gt;"",($R$6*$O$104)+IF($R$6=4,($O$102)+IF($R46=$Q$6+$R$6,$O$103,0),0),0))</f>
        <v>3</v>
      </c>
      <c r="R47" s="82"/>
      <c r="S47" s="123"/>
      <c r="T47" s="59"/>
      <c r="U47" s="60"/>
      <c r="V47" s="61"/>
      <c r="W47" s="62"/>
      <c r="X47" s="63"/>
      <c r="Y47" s="60"/>
      <c r="Z47" s="61"/>
      <c r="AA47" s="87"/>
      <c r="AB47" s="123"/>
      <c r="AC47" s="87"/>
      <c r="AD47" s="62"/>
      <c r="AE47" s="63"/>
      <c r="AF47" s="87"/>
      <c r="AG47" s="123"/>
      <c r="AH47" s="87"/>
      <c r="AI47" s="64"/>
      <c r="AJ47" s="123"/>
      <c r="AK47" s="113">
        <f>MAX($AL$10:$AL$97) - AL47</f>
        <v>44</v>
      </c>
      <c r="AL47" s="123"/>
    </row>
    <row r="48" spans="1:38" s="27" customFormat="1" hidden="1" x14ac:dyDescent="0.2">
      <c r="A48" s="101"/>
      <c r="B48" s="126" t="s">
        <v>52</v>
      </c>
      <c r="C48" s="120">
        <f>IF(ISBLANK(C46),
0,
IF(C$6= 4, 1, 0))</f>
        <v>0</v>
      </c>
      <c r="D48" s="120">
        <f>IF(ISBLANK(D46),
0,
IF(D$6 = 4, 1, 0))</f>
        <v>0</v>
      </c>
      <c r="E48" s="120">
        <f>IF(ISBLANK(E46),
0,
IF(E$6= 4, 1, 0))</f>
        <v>1</v>
      </c>
      <c r="F48" s="120">
        <f>IF(ISBLANK(F46),
0,
IF(F$6 = 4, 1, 0))</f>
        <v>0</v>
      </c>
      <c r="G48" s="120">
        <f>IF(ISBLANK(G46),
0,
IF(G$6= 4, 1, 0))</f>
        <v>0</v>
      </c>
      <c r="H48" s="120">
        <f>IF(ISBLANK(H46),
0,
IF(H$6 = 4, 1, 0))</f>
        <v>0</v>
      </c>
      <c r="I48" s="120">
        <f>IF(ISBLANK(I46),
0,
IF(I$6= 4, 1, 0))</f>
        <v>1</v>
      </c>
      <c r="J48" s="120">
        <f>IF(ISBLANK(J46),
0,
IF(J$6 = 4, 1, 0))</f>
        <v>0</v>
      </c>
      <c r="K48" s="120">
        <f>IF(ISBLANK(K46),
0,
IF(K$6= 4, 1, 0))</f>
        <v>0</v>
      </c>
      <c r="L48" s="120">
        <f>IF(ISBLANK(L46),
0,
IF(L$6 = 4, 1, 0))</f>
        <v>0</v>
      </c>
      <c r="M48" s="120">
        <f>IF(ISBLANK(M46),
0,
IF(M$6= 4, 1, 0))</f>
        <v>0</v>
      </c>
      <c r="N48" s="120">
        <f>IF(ISBLANK(N46),
0,
IF(N$6 = 4, 1, 0))</f>
        <v>0</v>
      </c>
      <c r="O48" s="120">
        <f>IF(ISBLANK(O46),
0,
IF(O$6= 4, 1, 0))</f>
        <v>0</v>
      </c>
      <c r="P48" s="120">
        <f>IF(ISBLANK(P46),
0,
IF(P$6 = 4, 1, 0))</f>
        <v>0</v>
      </c>
      <c r="Q48" s="120">
        <f>IF(ISBLANK(Q46),
0,
IF(Q$6= 4, 1, 0))</f>
        <v>0</v>
      </c>
      <c r="R48" s="120">
        <f>IF(ISBLANK(R46),
0,
IF(R$6 = 4, 1, 0))</f>
        <v>0</v>
      </c>
      <c r="S48" s="142"/>
      <c r="T48" s="77"/>
      <c r="U48" s="77"/>
      <c r="V48" s="77"/>
      <c r="W48" s="77"/>
      <c r="X48" s="77"/>
      <c r="Y48" s="77"/>
      <c r="Z48" s="77"/>
      <c r="AA48" s="77"/>
      <c r="AB48" s="142"/>
      <c r="AC48" s="120"/>
      <c r="AD48" s="120"/>
      <c r="AE48" s="120"/>
      <c r="AF48" s="120"/>
      <c r="AG48" s="142"/>
      <c r="AH48" s="120"/>
      <c r="AI48" s="120"/>
      <c r="AJ48" s="142"/>
      <c r="AK48" s="143">
        <f>SUM(C48:AI48)</f>
        <v>2</v>
      </c>
      <c r="AL48" s="125"/>
    </row>
    <row r="49" spans="1:38" s="27" customFormat="1" hidden="1" x14ac:dyDescent="0.2">
      <c r="A49" s="101"/>
      <c r="B49" s="126" t="s">
        <v>53</v>
      </c>
      <c r="C49" s="120">
        <f>IF(C48 = 0,
0,
IF(C46 = (C$6+D$6),1,0))</f>
        <v>0</v>
      </c>
      <c r="D49" s="120">
        <f>IF(D48 = 0,
0,
IF(D46 = (C$6+D$6),1,0))</f>
        <v>0</v>
      </c>
      <c r="E49" s="120">
        <f>IF(E48 = 0,
0,
IF(E46 = (E$6+F$6),1,0))</f>
        <v>0</v>
      </c>
      <c r="F49" s="120">
        <f>IF(F48 = 0,
0,
IF(F46 = (E$6+F$6),1,0))</f>
        <v>0</v>
      </c>
      <c r="G49" s="120">
        <f>IF(G48 = 0,
0,
IF(G46 = (G$6+H$6),1,0))</f>
        <v>0</v>
      </c>
      <c r="H49" s="120">
        <f>IF(H48 = 0,
0,
IF(H46 = (G$6+H$6),1,0))</f>
        <v>0</v>
      </c>
      <c r="I49" s="120">
        <f>IF(I48 = 0,
0,
IF(I46 = (I$6+J$6),1,0))</f>
        <v>0</v>
      </c>
      <c r="J49" s="120">
        <f>IF(J48 = 0,
0,
IF(J46 = (I$6+J$6),1,0))</f>
        <v>0</v>
      </c>
      <c r="K49" s="120">
        <f>IF(K48 = 0,
0,
IF(K46 = (K$6+L$6),1,0))</f>
        <v>0</v>
      </c>
      <c r="L49" s="120">
        <f>IF(L48 = 0,
0,
IF(L46 = (K$6+L$6),1,0))</f>
        <v>0</v>
      </c>
      <c r="M49" s="120">
        <f>IF(M48 = 0,
0,
IF(M46 = (M$6+N$6),1,0))</f>
        <v>0</v>
      </c>
      <c r="N49" s="120">
        <f>IF(N48 = 0,
0,
IF(N46 = (M$6+N$6),1,0))</f>
        <v>0</v>
      </c>
      <c r="O49" s="120">
        <f>IF(O48 = 0,
0,
IF(O46 = (O$6+P$6),1,0))</f>
        <v>0</v>
      </c>
      <c r="P49" s="120">
        <f>IF(P48 = 0,
0,
IF(P46 = (O$6+P$6),1,0))</f>
        <v>0</v>
      </c>
      <c r="Q49" s="120">
        <f>IF(Q48 = 0,
0,
IF(Q46 = (Q$6+R$6),1,0))</f>
        <v>0</v>
      </c>
      <c r="R49" s="120">
        <f>IF(R48 = 0,
0,
IF(R46 = (Q$6+R$6),1,0))</f>
        <v>0</v>
      </c>
      <c r="S49" s="142"/>
      <c r="T49" s="77"/>
      <c r="U49" s="77"/>
      <c r="V49" s="77"/>
      <c r="W49" s="77"/>
      <c r="X49" s="77"/>
      <c r="Y49" s="77"/>
      <c r="Z49" s="77"/>
      <c r="AA49" s="77"/>
      <c r="AB49" s="142"/>
      <c r="AC49" s="120"/>
      <c r="AD49" s="120"/>
      <c r="AE49" s="120"/>
      <c r="AF49" s="120"/>
      <c r="AG49" s="142"/>
      <c r="AH49" s="120"/>
      <c r="AI49" s="120"/>
      <c r="AJ49" s="142"/>
      <c r="AK49" s="143">
        <f>SUM(C49:AI49)</f>
        <v>0</v>
      </c>
      <c r="AL49" s="125"/>
    </row>
    <row r="50" spans="1:38" s="27" customFormat="1" ht="12.75" customHeight="1" x14ac:dyDescent="0.2">
      <c r="A50" s="177">
        <f>RANK(AL50,$AL$10:$AL$97,)</f>
        <v>10</v>
      </c>
      <c r="B50" s="201" t="s">
        <v>85</v>
      </c>
      <c r="C50" s="189">
        <v>5</v>
      </c>
      <c r="D50" s="190"/>
      <c r="E50" s="191">
        <v>5</v>
      </c>
      <c r="F50" s="190"/>
      <c r="G50" s="192">
        <v>5</v>
      </c>
      <c r="H50" s="193"/>
      <c r="I50" s="191"/>
      <c r="J50" s="193">
        <v>6</v>
      </c>
      <c r="K50" s="194">
        <v>5</v>
      </c>
      <c r="L50" s="193"/>
      <c r="M50" s="191"/>
      <c r="N50" s="253">
        <v>6</v>
      </c>
      <c r="O50" s="191">
        <v>5</v>
      </c>
      <c r="P50" s="190"/>
      <c r="Q50" s="192"/>
      <c r="R50" s="195">
        <v>6</v>
      </c>
      <c r="S50" s="196">
        <f>SUM(C51:R51)</f>
        <v>29</v>
      </c>
      <c r="T50" s="189">
        <v>6</v>
      </c>
      <c r="U50" s="193"/>
      <c r="V50" s="191">
        <v>5</v>
      </c>
      <c r="W50" s="193"/>
      <c r="X50" s="194">
        <v>7</v>
      </c>
      <c r="Y50" s="190"/>
      <c r="Z50" s="192">
        <v>7</v>
      </c>
      <c r="AA50" s="193"/>
      <c r="AB50" s="196">
        <f>SUM(T51:AA51)</f>
        <v>0</v>
      </c>
      <c r="AC50" s="192"/>
      <c r="AD50" s="193"/>
      <c r="AE50" s="194"/>
      <c r="AF50" s="193"/>
      <c r="AG50" s="196">
        <f>SUM(AC51:AF51)</f>
        <v>0</v>
      </c>
      <c r="AH50" s="237"/>
      <c r="AI50" s="187"/>
      <c r="AJ50" s="196">
        <f>AH51</f>
        <v>0</v>
      </c>
      <c r="AK50" s="198">
        <f>MAX($AL$10:$AL$97) - AL50</f>
        <v>15</v>
      </c>
      <c r="AL50" s="196">
        <f>$S50+$AB50+$AG50+$AJ50</f>
        <v>29</v>
      </c>
    </row>
    <row r="51" spans="1:38" s="27" customFormat="1" hidden="1" x14ac:dyDescent="0.2">
      <c r="A51" s="119" t="e">
        <f>RANK(AL51,$AL$10:$AL$97,)</f>
        <v>#N/A</v>
      </c>
      <c r="B51" s="100"/>
      <c r="C51" s="128">
        <f>(IF($C50&lt;&gt;"",($C$6*$O$104)+IF($C$6=4,($O$102)+IF($C50=$C$6+$D$6,$O$103,0),0),0)+IF($D50&lt;&gt;"",($D$6*$O$104)+IF($D$6=4,($O$102)+IF($D50=$C$6+$D$6,$O$103,0),0),0))</f>
        <v>0</v>
      </c>
      <c r="D51" s="129"/>
      <c r="E51" s="127">
        <f>(IF($E50&lt;&gt;"",($E$6*$O$104)+IF($E$6=4,($O$102)+IF($E50=$E$6+$F$6,$O$103,0),0),0)+IF($F50&lt;&gt;"",($F$6*$O$104)+IF($F$6=4,($O$102)+IF($F50=$E$6+$F$6,$O$103,0),0),0))</f>
        <v>9</v>
      </c>
      <c r="F51" s="129"/>
      <c r="G51" s="127">
        <f>(IF($G50&lt;&gt;"",($G$6*$O$104)+IF($G$6=4,($O$102)+IF($G50=$G$6+$H$6,$O$103,0),0),0)+IF($H50&lt;&gt;"",($H$6*$O$104)+IF($H$6=4,($O$102)+IF($H50=$G$6+$H$6,$O$103,0),0),0))</f>
        <v>3</v>
      </c>
      <c r="H51" s="129"/>
      <c r="I51" s="130">
        <f>(IF($I50&lt;&gt;"",($I$6*$O$104)+IF($I$6=4,($O$102)+IF($I50=$I$6+$J$6,$O$103,0),0),0)+IF($J50&lt;&gt;"",($J$6*$O$104)+IF($J$6=4,($O$102)+IF($J50=$I$6+$J$6,$O$103,0),0),0))</f>
        <v>0</v>
      </c>
      <c r="J51" s="131"/>
      <c r="K51" s="132">
        <f>(IF($K50&lt;&gt;"",($K$6*$O$104)+IF($K$6=4,($O$102)+IF($K50=$K$6+$L$6,$O$103,0),0),0)+IF($L50&lt;&gt;"",($L$6*$O$104)+IF($L$6=4,($O$102)+IF($L50=$K$6+$L$6,$O$103,0),0),0))</f>
        <v>1</v>
      </c>
      <c r="L51" s="129"/>
      <c r="M51" s="127">
        <f>(IF($M50&lt;&gt;"",($M$6*$O$104)+IF($M$6=4,($O$102)+IF($M50=$M$6+$N$6,$O$103,0),0),0)+IF($N50&lt;&gt;"",($N$6*$O$104)+IF($N$6=4,($O$102)+IF($N50=$M$6+$N$6,$O$103,0),0),0))</f>
        <v>11</v>
      </c>
      <c r="N51" s="129"/>
      <c r="O51" s="130">
        <f>(IF($O50&lt;&gt;"",($O$6*$O$104)+IF($O$6=4,($O$102)+IF($O50=$O$6+$P$6,$O$103,0),0),0)+IF($P50&lt;&gt;"",($P$6*$O$104)+IF($P$6=4,($O$102)+IF($P50=$O$6+$P$6,$O$103,0),0),0))</f>
        <v>2</v>
      </c>
      <c r="P51" s="129"/>
      <c r="Q51" s="130">
        <f>(IF($Q50&lt;&gt;"",($Q$6*$O$104)+IF($Q$6=4,($O$102)+IF($Q50=$Q$6+$R$6,$O$103,0),0),0)+IF($R50&lt;&gt;"",($R$6*$O$104)+IF($R$6=4,($O$102)+IF($R50=$Q$6+$R$6,$O$103,0),0),0))</f>
        <v>3</v>
      </c>
      <c r="R51" s="133"/>
      <c r="S51" s="123"/>
      <c r="T51" s="59"/>
      <c r="U51" s="60"/>
      <c r="V51" s="61"/>
      <c r="W51" s="62"/>
      <c r="X51" s="63"/>
      <c r="Y51" s="60"/>
      <c r="Z51" s="61"/>
      <c r="AA51" s="64"/>
      <c r="AB51" s="123"/>
      <c r="AC51" s="140"/>
      <c r="AD51" s="137"/>
      <c r="AE51" s="138"/>
      <c r="AF51" s="140"/>
      <c r="AG51" s="123"/>
      <c r="AH51" s="134"/>
      <c r="AI51" s="139"/>
      <c r="AJ51" s="123"/>
      <c r="AK51" s="112"/>
      <c r="AL51" s="123"/>
    </row>
    <row r="52" spans="1:38" s="27" customFormat="1" hidden="1" x14ac:dyDescent="0.2">
      <c r="A52" s="101"/>
      <c r="B52" s="126" t="s">
        <v>52</v>
      </c>
      <c r="C52" s="120">
        <f>IF(ISBLANK(C50),
0,
IF(C$6= 4, 1, 0))</f>
        <v>0</v>
      </c>
      <c r="D52" s="120">
        <f>IF(ISBLANK(D50),
0,
IF(D$6 = 4, 1, 0))</f>
        <v>0</v>
      </c>
      <c r="E52" s="120">
        <f>IF(ISBLANK(E50),
0,
IF(E$6= 4, 1, 0))</f>
        <v>1</v>
      </c>
      <c r="F52" s="120">
        <f>IF(ISBLANK(F50),
0,
IF(F$6 = 4, 1, 0))</f>
        <v>0</v>
      </c>
      <c r="G52" s="120">
        <f>IF(ISBLANK(G50),
0,
IF(G$6= 4, 1, 0))</f>
        <v>0</v>
      </c>
      <c r="H52" s="120">
        <f>IF(ISBLANK(H50),
0,
IF(H$6 = 4, 1, 0))</f>
        <v>0</v>
      </c>
      <c r="I52" s="120">
        <f>IF(ISBLANK(I50),
0,
IF(I$6= 4, 1, 0))</f>
        <v>0</v>
      </c>
      <c r="J52" s="120">
        <f>IF(ISBLANK(J50),
0,
IF(J$6 = 4, 1, 0))</f>
        <v>0</v>
      </c>
      <c r="K52" s="120">
        <f>IF(ISBLANK(K50),
0,
IF(K$6= 4, 1, 0))</f>
        <v>0</v>
      </c>
      <c r="L52" s="120">
        <f>IF(ISBLANK(L50),
0,
IF(L$6 = 4, 1, 0))</f>
        <v>0</v>
      </c>
      <c r="M52" s="120">
        <f>IF(ISBLANK(M50),
0,
IF(M$6= 4, 1, 0))</f>
        <v>0</v>
      </c>
      <c r="N52" s="120">
        <f>IF(ISBLANK(N50),
0,
IF(N$6 = 4, 1, 0))</f>
        <v>1</v>
      </c>
      <c r="O52" s="120">
        <f>IF(ISBLANK(O50),
0,
IF(O$6= 4, 1, 0))</f>
        <v>0</v>
      </c>
      <c r="P52" s="120">
        <f>IF(ISBLANK(P50),
0,
IF(P$6 = 4, 1, 0))</f>
        <v>0</v>
      </c>
      <c r="Q52" s="120">
        <f>IF(ISBLANK(Q50),
0,
IF(Q$6= 4, 1, 0))</f>
        <v>0</v>
      </c>
      <c r="R52" s="120">
        <f>IF(ISBLANK(R50),
0,
IF(R$6 = 4, 1, 0))</f>
        <v>0</v>
      </c>
      <c r="S52" s="142"/>
      <c r="T52" s="77"/>
      <c r="U52" s="77"/>
      <c r="V52" s="77"/>
      <c r="W52" s="77"/>
      <c r="X52" s="77"/>
      <c r="Y52" s="77"/>
      <c r="Z52" s="77"/>
      <c r="AA52" s="77"/>
      <c r="AB52" s="142"/>
      <c r="AC52" s="120"/>
      <c r="AD52" s="120"/>
      <c r="AE52" s="120"/>
      <c r="AF52" s="120"/>
      <c r="AG52" s="142"/>
      <c r="AH52" s="120"/>
      <c r="AI52" s="120"/>
      <c r="AJ52" s="142"/>
      <c r="AK52" s="143">
        <f>SUM(C52:AI52)</f>
        <v>2</v>
      </c>
      <c r="AL52" s="125"/>
    </row>
    <row r="53" spans="1:38" s="27" customFormat="1" hidden="1" x14ac:dyDescent="0.2">
      <c r="A53" s="101"/>
      <c r="B53" s="126" t="s">
        <v>53</v>
      </c>
      <c r="C53" s="120">
        <f>IF(C52 = 0,
0,
IF(C50 = (C$6+D$6),1,0))</f>
        <v>0</v>
      </c>
      <c r="D53" s="120">
        <f>IF(D52 = 0,
0,
IF(D50 = (C$6+D$6),1,0))</f>
        <v>0</v>
      </c>
      <c r="E53" s="120">
        <f>IF(E52 = 0,
0,
IF(E50 = (E$6+F$6),1,0))</f>
        <v>0</v>
      </c>
      <c r="F53" s="120">
        <f>IF(F52 = 0,
0,
IF(F50 = (E$6+F$6),1,0))</f>
        <v>0</v>
      </c>
      <c r="G53" s="120">
        <f>IF(G52 = 0,
0,
IF(G50 = (G$6+H$6),1,0))</f>
        <v>0</v>
      </c>
      <c r="H53" s="120">
        <f>IF(H52 = 0,
0,
IF(H50 = (G$6+H$6),1,0))</f>
        <v>0</v>
      </c>
      <c r="I53" s="120">
        <f>IF(I52 = 0,
0,
IF(I50 = (I$6+J$6),1,0))</f>
        <v>0</v>
      </c>
      <c r="J53" s="120">
        <f>IF(J52 = 0,
0,
IF(J50 = (I$6+J$6),1,0))</f>
        <v>0</v>
      </c>
      <c r="K53" s="120">
        <f>IF(K52 = 0,
0,
IF(K50 = (K$6+L$6),1,0))</f>
        <v>0</v>
      </c>
      <c r="L53" s="120">
        <f>IF(L52 = 0,
0,
IF(L50 = (K$6+L$6),1,0))</f>
        <v>0</v>
      </c>
      <c r="M53" s="120">
        <f>IF(M52 = 0,
0,
IF(M50 = (M$6+N$6),1,0))</f>
        <v>0</v>
      </c>
      <c r="N53" s="120">
        <f>IF(N52 = 0,
0,
IF(N50 = (M$6+N$6),1,0))</f>
        <v>1</v>
      </c>
      <c r="O53" s="120">
        <f>IF(O52 = 0,
0,
IF(O50 = (O$6+P$6),1,0))</f>
        <v>0</v>
      </c>
      <c r="P53" s="120">
        <f>IF(P52 = 0,
0,
IF(P50 = (O$6+P$6),1,0))</f>
        <v>0</v>
      </c>
      <c r="Q53" s="120">
        <f>IF(Q52 = 0,
0,
IF(Q50 = (Q$6+R$6),1,0))</f>
        <v>0</v>
      </c>
      <c r="R53" s="120">
        <f>IF(R52 = 0,
0,
IF(R50 = (Q$6+R$6),1,0))</f>
        <v>0</v>
      </c>
      <c r="S53" s="142"/>
      <c r="T53" s="77"/>
      <c r="U53" s="77"/>
      <c r="V53" s="77"/>
      <c r="W53" s="77"/>
      <c r="X53" s="77"/>
      <c r="Y53" s="77"/>
      <c r="Z53" s="77"/>
      <c r="AA53" s="77"/>
      <c r="AB53" s="142"/>
      <c r="AC53" s="120"/>
      <c r="AD53" s="120"/>
      <c r="AE53" s="120"/>
      <c r="AF53" s="120"/>
      <c r="AG53" s="142"/>
      <c r="AH53" s="120"/>
      <c r="AI53" s="120"/>
      <c r="AJ53" s="142"/>
      <c r="AK53" s="143">
        <f>SUM(C53:AI53)</f>
        <v>1</v>
      </c>
      <c r="AL53" s="125"/>
    </row>
    <row r="54" spans="1:38" s="27" customFormat="1" ht="12.6" customHeight="1" x14ac:dyDescent="0.2">
      <c r="A54" s="119">
        <f>RANK(AL54,$AL$10:$AL$97,)</f>
        <v>10</v>
      </c>
      <c r="B54" s="86" t="s">
        <v>74</v>
      </c>
      <c r="C54" s="46">
        <v>5</v>
      </c>
      <c r="D54" s="45"/>
      <c r="E54" s="44">
        <v>6</v>
      </c>
      <c r="F54" s="45"/>
      <c r="G54" s="48">
        <v>6</v>
      </c>
      <c r="H54" s="47"/>
      <c r="I54" s="44"/>
      <c r="J54" s="47">
        <v>7</v>
      </c>
      <c r="K54" s="49">
        <v>5</v>
      </c>
      <c r="L54" s="47"/>
      <c r="M54" s="44"/>
      <c r="N54" s="252">
        <v>6</v>
      </c>
      <c r="O54" s="44">
        <v>7</v>
      </c>
      <c r="P54" s="45"/>
      <c r="Q54" s="48"/>
      <c r="R54" s="50">
        <v>6</v>
      </c>
      <c r="S54" s="124">
        <f>SUM(C55:R55)</f>
        <v>29</v>
      </c>
      <c r="T54" s="46"/>
      <c r="U54" s="47">
        <v>6</v>
      </c>
      <c r="V54" s="44">
        <v>5</v>
      </c>
      <c r="W54" s="47"/>
      <c r="X54" s="49"/>
      <c r="Y54" s="45">
        <v>5</v>
      </c>
      <c r="Z54" s="48">
        <v>6</v>
      </c>
      <c r="AA54" s="47"/>
      <c r="AB54" s="124">
        <f>SUM(T55:AA55)</f>
        <v>0</v>
      </c>
      <c r="AC54" s="48"/>
      <c r="AD54" s="47"/>
      <c r="AE54" s="49"/>
      <c r="AF54" s="47"/>
      <c r="AG54" s="124">
        <f>SUM(AC55:AF55)</f>
        <v>0</v>
      </c>
      <c r="AH54" s="104"/>
      <c r="AI54" s="57"/>
      <c r="AJ54" s="124">
        <f>AH55</f>
        <v>0</v>
      </c>
      <c r="AK54" s="113">
        <f>MAX($AL$10:$AL$97) - AL54</f>
        <v>15</v>
      </c>
      <c r="AL54" s="124">
        <f>$S54+$AB54+$AG54+$AJ54</f>
        <v>29</v>
      </c>
    </row>
    <row r="55" spans="1:38" s="27" customFormat="1" hidden="1" x14ac:dyDescent="0.2">
      <c r="A55" s="119" t="e">
        <f>RANK(AL55,$AL$10:$AL$97,)</f>
        <v>#N/A</v>
      </c>
      <c r="B55" s="100"/>
      <c r="C55" s="128">
        <f>(IF($C54&lt;&gt;"",($C$6*$O$104)+IF($C$6=4,($O$102)+IF($C54=$C$6+$D$6,$O$103,0),0),0)+IF($D54&lt;&gt;"",($D$6*$O$104)+IF($D$6=4,($O$102)+IF($D54=$C$6+$D$6,$O$103,0),0),0))</f>
        <v>0</v>
      </c>
      <c r="D55" s="129"/>
      <c r="E55" s="127">
        <f>(IF($E54&lt;&gt;"",($E$6*$O$104)+IF($E$6=4,($O$102)+IF($E54=$E$6+$F$6,$O$103,0),0),0)+IF($F54&lt;&gt;"",($F$6*$O$104)+IF($F$6=4,($O$102)+IF($F54=$E$6+$F$6,$O$103,0),0),0))</f>
        <v>9</v>
      </c>
      <c r="F55" s="129"/>
      <c r="G55" s="127">
        <f>(IF($G54&lt;&gt;"",($G$6*$O$104)+IF($G$6=4,($O$102)+IF($G54=$G$6+$H$6,$O$103,0),0),0)+IF($H54&lt;&gt;"",($H$6*$O$104)+IF($H$6=4,($O$102)+IF($H54=$G$6+$H$6,$O$103,0),0),0))</f>
        <v>3</v>
      </c>
      <c r="H55" s="129"/>
      <c r="I55" s="130">
        <f>(IF($I54&lt;&gt;"",($I$6*$O$104)+IF($I$6=4,($O$102)+IF($I54=$I$6+$J$6,$O$103,0),0),0)+IF($J54&lt;&gt;"",($J$6*$O$104)+IF($J$6=4,($O$102)+IF($J54=$I$6+$J$6,$O$103,0),0),0))</f>
        <v>0</v>
      </c>
      <c r="J55" s="131"/>
      <c r="K55" s="132">
        <f>(IF($K54&lt;&gt;"",($K$6*$O$104)+IF($K$6=4,($O$102)+IF($K54=$K$6+$L$6,$O$103,0),0),0)+IF($L54&lt;&gt;"",($L$6*$O$104)+IF($L$6=4,($O$102)+IF($L54=$K$6+$L$6,$O$103,0),0),0))</f>
        <v>1</v>
      </c>
      <c r="L55" s="129"/>
      <c r="M55" s="127">
        <f>(IF($M54&lt;&gt;"",($M$6*$O$104)+IF($M$6=4,($O$102)+IF($M54=$M$6+$N$6,$O$103,0),0),0)+IF($N54&lt;&gt;"",($N$6*$O$104)+IF($N$6=4,($O$102)+IF($N54=$M$6+$N$6,$O$103,0),0),0))</f>
        <v>11</v>
      </c>
      <c r="N55" s="129"/>
      <c r="O55" s="130">
        <f>(IF($O54&lt;&gt;"",($O$6*$O$104)+IF($O$6=4,($O$102)+IF($O54=$O$6+$P$6,$O$103,0),0),0)+IF($P54&lt;&gt;"",($P$6*$O$104)+IF($P$6=4,($O$102)+IF($P54=$O$6+$P$6,$O$103,0),0),0))</f>
        <v>2</v>
      </c>
      <c r="P55" s="129"/>
      <c r="Q55" s="130">
        <f>(IF($Q54&lt;&gt;"",($Q$6*$O$104)+IF($Q$6=4,($O$102)+IF($Q54=$Q$6+$R$6,$O$103,0),0),0)+IF($R54&lt;&gt;"",($R$6*$O$104)+IF($R$6=4,($O$102)+IF($R54=$Q$6+$R$6,$O$103,0),0),0))</f>
        <v>3</v>
      </c>
      <c r="R55" s="133"/>
      <c r="S55" s="123"/>
      <c r="T55" s="59"/>
      <c r="U55" s="60"/>
      <c r="V55" s="61"/>
      <c r="W55" s="62"/>
      <c r="X55" s="63"/>
      <c r="Y55" s="60"/>
      <c r="Z55" s="61"/>
      <c r="AA55" s="64"/>
      <c r="AB55" s="123"/>
      <c r="AC55" s="140"/>
      <c r="AD55" s="137"/>
      <c r="AE55" s="138"/>
      <c r="AF55" s="140"/>
      <c r="AG55" s="123"/>
      <c r="AH55" s="134"/>
      <c r="AI55" s="139"/>
      <c r="AJ55" s="123"/>
      <c r="AK55" s="112"/>
      <c r="AL55" s="123"/>
    </row>
    <row r="56" spans="1:38" s="27" customFormat="1" hidden="1" x14ac:dyDescent="0.2">
      <c r="A56" s="101"/>
      <c r="B56" s="126" t="s">
        <v>52</v>
      </c>
      <c r="C56" s="120">
        <f>IF(ISBLANK(C54),
0,
IF(C$6= 4, 1, 0))</f>
        <v>0</v>
      </c>
      <c r="D56" s="120">
        <f>IF(ISBLANK(D54),
0,
IF(D$6 = 4, 1, 0))</f>
        <v>0</v>
      </c>
      <c r="E56" s="120">
        <f>IF(ISBLANK(E54),
0,
IF(E$6= 4, 1, 0))</f>
        <v>1</v>
      </c>
      <c r="F56" s="120">
        <f>IF(ISBLANK(F54),
0,
IF(F$6 = 4, 1, 0))</f>
        <v>0</v>
      </c>
      <c r="G56" s="120">
        <f>IF(ISBLANK(G54),
0,
IF(G$6= 4, 1, 0))</f>
        <v>0</v>
      </c>
      <c r="H56" s="120">
        <f>IF(ISBLANK(H54),
0,
IF(H$6 = 4, 1, 0))</f>
        <v>0</v>
      </c>
      <c r="I56" s="120">
        <f>IF(ISBLANK(I54),
0,
IF(I$6= 4, 1, 0))</f>
        <v>0</v>
      </c>
      <c r="J56" s="120">
        <f>IF(ISBLANK(J54),
0,
IF(J$6 = 4, 1, 0))</f>
        <v>0</v>
      </c>
      <c r="K56" s="120">
        <f>IF(ISBLANK(K54),
0,
IF(K$6= 4, 1, 0))</f>
        <v>0</v>
      </c>
      <c r="L56" s="120">
        <f>IF(ISBLANK(L54),
0,
IF(L$6 = 4, 1, 0))</f>
        <v>0</v>
      </c>
      <c r="M56" s="120">
        <f>IF(ISBLANK(M54),
0,
IF(M$6= 4, 1, 0))</f>
        <v>0</v>
      </c>
      <c r="N56" s="120">
        <f>IF(ISBLANK(N54),
0,
IF(N$6 = 4, 1, 0))</f>
        <v>1</v>
      </c>
      <c r="O56" s="120">
        <f>IF(ISBLANK(O54),
0,
IF(O$6= 4, 1, 0))</f>
        <v>0</v>
      </c>
      <c r="P56" s="120">
        <f>IF(ISBLANK(P54),
0,
IF(P$6 = 4, 1, 0))</f>
        <v>0</v>
      </c>
      <c r="Q56" s="120">
        <f>IF(ISBLANK(Q54),
0,
IF(Q$6= 4, 1, 0))</f>
        <v>0</v>
      </c>
      <c r="R56" s="120">
        <f>IF(ISBLANK(R54),
0,
IF(R$6 = 4, 1, 0))</f>
        <v>0</v>
      </c>
      <c r="S56" s="142"/>
      <c r="T56" s="77"/>
      <c r="U56" s="77"/>
      <c r="V56" s="77"/>
      <c r="W56" s="77"/>
      <c r="X56" s="77"/>
      <c r="Y56" s="77"/>
      <c r="Z56" s="77"/>
      <c r="AA56" s="77"/>
      <c r="AB56" s="142"/>
      <c r="AC56" s="120"/>
      <c r="AD56" s="120"/>
      <c r="AE56" s="120"/>
      <c r="AF56" s="120"/>
      <c r="AG56" s="142"/>
      <c r="AH56" s="120"/>
      <c r="AI56" s="120"/>
      <c r="AJ56" s="142"/>
      <c r="AK56" s="143">
        <f>SUM(C56:AI56)</f>
        <v>2</v>
      </c>
      <c r="AL56" s="125"/>
    </row>
    <row r="57" spans="1:38" s="27" customFormat="1" hidden="1" x14ac:dyDescent="0.2">
      <c r="A57" s="101"/>
      <c r="B57" s="126" t="s">
        <v>53</v>
      </c>
      <c r="C57" s="120">
        <f>IF(C56 = 0,
0,
IF(C54 = (C$6+D$6),1,0))</f>
        <v>0</v>
      </c>
      <c r="D57" s="120">
        <f>IF(D56 = 0,
0,
IF(D54 = (C$6+D$6),1,0))</f>
        <v>0</v>
      </c>
      <c r="E57" s="120">
        <f>IF(E56 = 0,
0,
IF(E54 = (E$6+F$6),1,0))</f>
        <v>0</v>
      </c>
      <c r="F57" s="120">
        <f>IF(F56 = 0,
0,
IF(F54 = (E$6+F$6),1,0))</f>
        <v>0</v>
      </c>
      <c r="G57" s="120">
        <f>IF(G56 = 0,
0,
IF(G54 = (G$6+H$6),1,0))</f>
        <v>0</v>
      </c>
      <c r="H57" s="120">
        <f>IF(H56 = 0,
0,
IF(H54 = (G$6+H$6),1,0))</f>
        <v>0</v>
      </c>
      <c r="I57" s="120">
        <f>IF(I56 = 0,
0,
IF(I54 = (I$6+J$6),1,0))</f>
        <v>0</v>
      </c>
      <c r="J57" s="120">
        <f>IF(J56 = 0,
0,
IF(J54 = (I$6+J$6),1,0))</f>
        <v>0</v>
      </c>
      <c r="K57" s="120">
        <f>IF(K56 = 0,
0,
IF(K54 = (K$6+L$6),1,0))</f>
        <v>0</v>
      </c>
      <c r="L57" s="120">
        <f>IF(L56 = 0,
0,
IF(L54 = (K$6+L$6),1,0))</f>
        <v>0</v>
      </c>
      <c r="M57" s="120">
        <f>IF(M56 = 0,
0,
IF(M54 = (M$6+N$6),1,0))</f>
        <v>0</v>
      </c>
      <c r="N57" s="120">
        <f>IF(N56 = 0,
0,
IF(N54 = (M$6+N$6),1,0))</f>
        <v>1</v>
      </c>
      <c r="O57" s="120">
        <f>IF(O56 = 0,
0,
IF(O54 = (O$6+P$6),1,0))</f>
        <v>0</v>
      </c>
      <c r="P57" s="120">
        <f>IF(P56 = 0,
0,
IF(P54 = (O$6+P$6),1,0))</f>
        <v>0</v>
      </c>
      <c r="Q57" s="120">
        <f>IF(Q56 = 0,
0,
IF(Q54 = (Q$6+R$6),1,0))</f>
        <v>0</v>
      </c>
      <c r="R57" s="120">
        <f>IF(R56 = 0,
0,
IF(R54 = (Q$6+R$6),1,0))</f>
        <v>0</v>
      </c>
      <c r="S57" s="142"/>
      <c r="T57" s="77"/>
      <c r="U57" s="77"/>
      <c r="V57" s="77"/>
      <c r="W57" s="77"/>
      <c r="X57" s="77"/>
      <c r="Y57" s="77"/>
      <c r="Z57" s="77"/>
      <c r="AA57" s="77"/>
      <c r="AB57" s="142"/>
      <c r="AC57" s="120"/>
      <c r="AD57" s="120"/>
      <c r="AE57" s="120"/>
      <c r="AF57" s="120"/>
      <c r="AG57" s="142"/>
      <c r="AH57" s="120"/>
      <c r="AI57" s="120"/>
      <c r="AJ57" s="142"/>
      <c r="AK57" s="143">
        <f>SUM(C57:AI57)</f>
        <v>1</v>
      </c>
      <c r="AL57" s="125"/>
    </row>
    <row r="58" spans="1:38" s="27" customFormat="1" ht="12.6" customHeight="1" x14ac:dyDescent="0.2">
      <c r="A58" s="177">
        <f>RANK(AL58,$AL$10:$AL$97,)</f>
        <v>13</v>
      </c>
      <c r="B58" s="201" t="s">
        <v>83</v>
      </c>
      <c r="C58" s="189">
        <v>6</v>
      </c>
      <c r="D58" s="190"/>
      <c r="E58" s="251">
        <v>7</v>
      </c>
      <c r="F58" s="190"/>
      <c r="G58" s="192">
        <v>5</v>
      </c>
      <c r="H58" s="193"/>
      <c r="I58" s="191"/>
      <c r="J58" s="193">
        <v>5</v>
      </c>
      <c r="K58" s="194">
        <v>7</v>
      </c>
      <c r="L58" s="193"/>
      <c r="M58" s="191">
        <v>6</v>
      </c>
      <c r="N58" s="190"/>
      <c r="O58" s="191">
        <v>7</v>
      </c>
      <c r="P58" s="190"/>
      <c r="Q58" s="192">
        <v>5</v>
      </c>
      <c r="R58" s="195"/>
      <c r="S58" s="196">
        <f>SUM(C59:R59)</f>
        <v>28</v>
      </c>
      <c r="T58" s="189"/>
      <c r="U58" s="193">
        <v>6</v>
      </c>
      <c r="V58" s="191">
        <v>5</v>
      </c>
      <c r="W58" s="193"/>
      <c r="X58" s="194">
        <v>4</v>
      </c>
      <c r="Y58" s="190"/>
      <c r="Z58" s="192">
        <v>7</v>
      </c>
      <c r="AA58" s="193"/>
      <c r="AB58" s="196">
        <f>SUM(T59:AA59)</f>
        <v>0</v>
      </c>
      <c r="AC58" s="192"/>
      <c r="AD58" s="193"/>
      <c r="AE58" s="194"/>
      <c r="AF58" s="193"/>
      <c r="AG58" s="196">
        <f>SUM(AC59:AF59)</f>
        <v>0</v>
      </c>
      <c r="AH58" s="199"/>
      <c r="AI58" s="187"/>
      <c r="AJ58" s="196">
        <f>AH59</f>
        <v>0</v>
      </c>
      <c r="AK58" s="198">
        <f>MAX($AL$10:$AL$97) - AL58</f>
        <v>16</v>
      </c>
      <c r="AL58" s="196">
        <f>$S58+$AB58+$AG58+$AJ58</f>
        <v>28</v>
      </c>
    </row>
    <row r="59" spans="1:38" s="27" customFormat="1" hidden="1" x14ac:dyDescent="0.2">
      <c r="A59" s="119" t="e">
        <f>RANK(AL59,$AL$10:$AL$97,)</f>
        <v>#N/A</v>
      </c>
      <c r="B59" s="100"/>
      <c r="C59" s="128">
        <f>(IF($C58&lt;&gt;"",($C$6*$O$104)+IF($C$6=4,($O$102)+IF($C58=$C$6+$D$6,$O$103,0),0),0)+IF($D58&lt;&gt;"",($D$6*$O$104)+IF($D$6=4,($O$102)+IF($D58=$C$6+$D$6,$O$103,0),0),0))</f>
        <v>0</v>
      </c>
      <c r="D59" s="129"/>
      <c r="E59" s="127">
        <f>(IF($E58&lt;&gt;"",($E$6*$O$104)+IF($E$6=4,($O$102)+IF($E58=$E$6+$F$6,$O$103,0),0),0)+IF($F58&lt;&gt;"",($F$6*$O$104)+IF($F$6=4,($O$102)+IF($F58=$E$6+$F$6,$O$103,0),0),0))</f>
        <v>11</v>
      </c>
      <c r="F59" s="129"/>
      <c r="G59" s="127">
        <f>(IF($G58&lt;&gt;"",($G$6*$O$104)+IF($G$6=4,($O$102)+IF($G58=$G$6+$H$6,$O$103,0),0),0)+IF($H58&lt;&gt;"",($H$6*$O$104)+IF($H$6=4,($O$102)+IF($H58=$G$6+$H$6,$O$103,0),0),0))</f>
        <v>3</v>
      </c>
      <c r="H59" s="129"/>
      <c r="I59" s="130">
        <f>(IF($I58&lt;&gt;"",($I$6*$O$104)+IF($I$6=4,($O$102)+IF($I58=$I$6+$J$6,$O$103,0),0),0)+IF($J58&lt;&gt;"",($J$6*$O$104)+IF($J$6=4,($O$102)+IF($J58=$I$6+$J$6,$O$103,0),0),0))</f>
        <v>0</v>
      </c>
      <c r="J59" s="131"/>
      <c r="K59" s="132">
        <f>(IF($K58&lt;&gt;"",($K$6*$O$104)+IF($K$6=4,($O$102)+IF($K58=$K$6+$L$6,$O$103,0),0),0)+IF($L58&lt;&gt;"",($L$6*$O$104)+IF($L$6=4,($O$102)+IF($L58=$K$6+$L$6,$O$103,0),0),0))</f>
        <v>1</v>
      </c>
      <c r="L59" s="129"/>
      <c r="M59" s="127">
        <f>(IF($M58&lt;&gt;"",($M$6*$O$104)+IF($M$6=4,($O$102)+IF($M58=$M$6+$N$6,$O$103,0),0),0)+IF($N58&lt;&gt;"",($N$6*$O$104)+IF($N$6=4,($O$102)+IF($N58=$M$6+$N$6,$O$103,0),0),0))</f>
        <v>2</v>
      </c>
      <c r="N59" s="129"/>
      <c r="O59" s="130">
        <f>(IF($O58&lt;&gt;"",($O$6*$O$104)+IF($O$6=4,($O$102)+IF($O58=$O$6+$P$6,$O$103,0),0),0)+IF($P58&lt;&gt;"",($P$6*$O$104)+IF($P$6=4,($O$102)+IF($P58=$O$6+$P$6,$O$103,0),0),0))</f>
        <v>2</v>
      </c>
      <c r="P59" s="129"/>
      <c r="Q59" s="130">
        <f>(IF($Q58&lt;&gt;"",($Q$6*$O$104)+IF($Q$6=4,($O$102)+IF($Q58=$Q$6+$R$6,$O$103,0),0),0)+IF($R58&lt;&gt;"",($R$6*$O$104)+IF($R$6=4,($O$102)+IF($R58=$Q$6+$R$6,$O$103,0),0),0))</f>
        <v>9</v>
      </c>
      <c r="R59" s="133"/>
      <c r="S59" s="123"/>
      <c r="T59" s="59"/>
      <c r="U59" s="60"/>
      <c r="V59" s="61"/>
      <c r="W59" s="62"/>
      <c r="X59" s="63"/>
      <c r="Y59" s="60"/>
      <c r="Z59" s="61"/>
      <c r="AA59" s="64"/>
      <c r="AB59" s="123"/>
      <c r="AC59" s="140"/>
      <c r="AD59" s="137"/>
      <c r="AE59" s="138"/>
      <c r="AF59" s="140"/>
      <c r="AG59" s="123"/>
      <c r="AH59" s="134"/>
      <c r="AI59" s="139"/>
      <c r="AJ59" s="123"/>
      <c r="AK59" s="112"/>
      <c r="AL59" s="123"/>
    </row>
    <row r="60" spans="1:38" s="27" customFormat="1" hidden="1" x14ac:dyDescent="0.2">
      <c r="A60" s="101"/>
      <c r="B60" s="126" t="s">
        <v>52</v>
      </c>
      <c r="C60" s="120">
        <f>IF(ISBLANK(C58),
0,
IF(C$6= 4, 1, 0))</f>
        <v>0</v>
      </c>
      <c r="D60" s="120">
        <f>IF(ISBLANK(D58),
0,
IF(D$6 = 4, 1, 0))</f>
        <v>0</v>
      </c>
      <c r="E60" s="120">
        <f>IF(ISBLANK(E58),
0,
IF(E$6= 4, 1, 0))</f>
        <v>1</v>
      </c>
      <c r="F60" s="120">
        <f>IF(ISBLANK(F58),
0,
IF(F$6 = 4, 1, 0))</f>
        <v>0</v>
      </c>
      <c r="G60" s="120">
        <f>IF(ISBLANK(G58),
0,
IF(G$6= 4, 1, 0))</f>
        <v>0</v>
      </c>
      <c r="H60" s="120">
        <f>IF(ISBLANK(H58),
0,
IF(H$6 = 4, 1, 0))</f>
        <v>0</v>
      </c>
      <c r="I60" s="120">
        <f>IF(ISBLANK(I58),
0,
IF(I$6= 4, 1, 0))</f>
        <v>0</v>
      </c>
      <c r="J60" s="120">
        <f>IF(ISBLANK(J58),
0,
IF(J$6 = 4, 1, 0))</f>
        <v>0</v>
      </c>
      <c r="K60" s="120">
        <f>IF(ISBLANK(K58),
0,
IF(K$6= 4, 1, 0))</f>
        <v>0</v>
      </c>
      <c r="L60" s="120">
        <f>IF(ISBLANK(L58),
0,
IF(L$6 = 4, 1, 0))</f>
        <v>0</v>
      </c>
      <c r="M60" s="120">
        <f>IF(ISBLANK(M58),
0,
IF(M$6= 4, 1, 0))</f>
        <v>0</v>
      </c>
      <c r="N60" s="120">
        <f>IF(ISBLANK(N58),
0,
IF(N$6 = 4, 1, 0))</f>
        <v>0</v>
      </c>
      <c r="O60" s="120">
        <f>IF(ISBLANK(O58),
0,
IF(O$6= 4, 1, 0))</f>
        <v>0</v>
      </c>
      <c r="P60" s="120">
        <f>IF(ISBLANK(P58),
0,
IF(P$6 = 4, 1, 0))</f>
        <v>0</v>
      </c>
      <c r="Q60" s="120">
        <f>IF(ISBLANK(Q58),
0,
IF(Q$6= 4, 1, 0))</f>
        <v>1</v>
      </c>
      <c r="R60" s="120">
        <f>IF(ISBLANK(R58),
0,
IF(R$6 = 4, 1, 0))</f>
        <v>0</v>
      </c>
      <c r="S60" s="142"/>
      <c r="T60" s="77"/>
      <c r="U60" s="77"/>
      <c r="V60" s="77"/>
      <c r="W60" s="77"/>
      <c r="X60" s="77"/>
      <c r="Y60" s="77"/>
      <c r="Z60" s="77"/>
      <c r="AA60" s="77"/>
      <c r="AB60" s="142"/>
      <c r="AC60" s="120"/>
      <c r="AD60" s="120"/>
      <c r="AE60" s="120"/>
      <c r="AF60" s="120"/>
      <c r="AG60" s="142"/>
      <c r="AH60" s="120"/>
      <c r="AI60" s="120"/>
      <c r="AJ60" s="142"/>
      <c r="AK60" s="143">
        <f>SUM(C60:AI60)</f>
        <v>2</v>
      </c>
      <c r="AL60" s="125"/>
    </row>
    <row r="61" spans="1:38" s="27" customFormat="1" hidden="1" x14ac:dyDescent="0.2">
      <c r="A61" s="101"/>
      <c r="B61" s="126" t="s">
        <v>53</v>
      </c>
      <c r="C61" s="120">
        <f>IF(C60 = 0,
0,
IF(C58 = (C$6+D$6),1,0))</f>
        <v>0</v>
      </c>
      <c r="D61" s="120">
        <f>IF(D60 = 0,
0,
IF(D58 = (C$6+D$6),1,0))</f>
        <v>0</v>
      </c>
      <c r="E61" s="120">
        <f>IF(E60 = 0,
0,
IF(E58 = (E$6+F$6),1,0))</f>
        <v>1</v>
      </c>
      <c r="F61" s="120">
        <f>IF(F60 = 0,
0,
IF(F58 = (E$6+F$6),1,0))</f>
        <v>0</v>
      </c>
      <c r="G61" s="120">
        <f>IF(G60 = 0,
0,
IF(G58 = (G$6+H$6),1,0))</f>
        <v>0</v>
      </c>
      <c r="H61" s="120">
        <f>IF(H60 = 0,
0,
IF(H58 = (G$6+H$6),1,0))</f>
        <v>0</v>
      </c>
      <c r="I61" s="120">
        <f>IF(I60 = 0,
0,
IF(I58 = (I$6+J$6),1,0))</f>
        <v>0</v>
      </c>
      <c r="J61" s="120">
        <f>IF(J60 = 0,
0,
IF(J58 = (I$6+J$6),1,0))</f>
        <v>0</v>
      </c>
      <c r="K61" s="120">
        <f>IF(K60 = 0,
0,
IF(K58 = (K$6+L$6),1,0))</f>
        <v>0</v>
      </c>
      <c r="L61" s="120">
        <f>IF(L60 = 0,
0,
IF(L58 = (K$6+L$6),1,0))</f>
        <v>0</v>
      </c>
      <c r="M61" s="120">
        <f>IF(M60 = 0,
0,
IF(M58 = (M$6+N$6),1,0))</f>
        <v>0</v>
      </c>
      <c r="N61" s="120">
        <f>IF(N60 = 0,
0,
IF(N58 = (M$6+N$6),1,0))</f>
        <v>0</v>
      </c>
      <c r="O61" s="120">
        <f>IF(O60 = 0,
0,
IF(O58 = (O$6+P$6),1,0))</f>
        <v>0</v>
      </c>
      <c r="P61" s="120">
        <f>IF(P60 = 0,
0,
IF(P58 = (O$6+P$6),1,0))</f>
        <v>0</v>
      </c>
      <c r="Q61" s="120">
        <f>IF(Q60 = 0,
0,
IF(Q58 = (Q$6+R$6),1,0))</f>
        <v>0</v>
      </c>
      <c r="R61" s="120">
        <f>IF(R60 = 0,
0,
IF(R58 = (Q$6+R$6),1,0))</f>
        <v>0</v>
      </c>
      <c r="S61" s="142"/>
      <c r="T61" s="77"/>
      <c r="U61" s="77"/>
      <c r="V61" s="77"/>
      <c r="W61" s="77"/>
      <c r="X61" s="77"/>
      <c r="Y61" s="77"/>
      <c r="Z61" s="77"/>
      <c r="AA61" s="77"/>
      <c r="AB61" s="142"/>
      <c r="AC61" s="120"/>
      <c r="AD61" s="120"/>
      <c r="AE61" s="120"/>
      <c r="AF61" s="120"/>
      <c r="AG61" s="142"/>
      <c r="AH61" s="120"/>
      <c r="AI61" s="120"/>
      <c r="AJ61" s="142"/>
      <c r="AK61" s="143">
        <f>SUM(C61:AI61)</f>
        <v>1</v>
      </c>
      <c r="AL61" s="125"/>
    </row>
    <row r="62" spans="1:38" s="27" customFormat="1" ht="12.6" customHeight="1" x14ac:dyDescent="0.2">
      <c r="A62" s="119">
        <f>RANK(AL62,$AL$10:$AL$97,)</f>
        <v>14</v>
      </c>
      <c r="B62" s="86" t="s">
        <v>76</v>
      </c>
      <c r="C62" s="46">
        <v>6</v>
      </c>
      <c r="D62" s="45"/>
      <c r="E62" s="250">
        <v>7</v>
      </c>
      <c r="F62" s="45"/>
      <c r="G62" s="48">
        <v>6</v>
      </c>
      <c r="H62" s="47"/>
      <c r="I62" s="44"/>
      <c r="J62" s="47">
        <v>7</v>
      </c>
      <c r="K62" s="49">
        <v>7</v>
      </c>
      <c r="L62" s="47"/>
      <c r="M62" s="44">
        <v>6</v>
      </c>
      <c r="N62" s="45"/>
      <c r="O62" s="44">
        <v>6</v>
      </c>
      <c r="P62" s="45"/>
      <c r="Q62" s="48"/>
      <c r="R62" s="50">
        <v>7</v>
      </c>
      <c r="S62" s="124">
        <f>SUM(C63:R63)</f>
        <v>22</v>
      </c>
      <c r="T62" s="46"/>
      <c r="U62" s="47">
        <v>7</v>
      </c>
      <c r="V62" s="44"/>
      <c r="W62" s="47">
        <v>7</v>
      </c>
      <c r="X62" s="49">
        <v>7</v>
      </c>
      <c r="Y62" s="45"/>
      <c r="Z62" s="48">
        <v>7</v>
      </c>
      <c r="AA62" s="47"/>
      <c r="AB62" s="124">
        <f>SUM(T63:AA63)</f>
        <v>0</v>
      </c>
      <c r="AC62" s="48"/>
      <c r="AD62" s="47"/>
      <c r="AE62" s="49"/>
      <c r="AF62" s="47"/>
      <c r="AG62" s="124">
        <f>SUM(AC63:AF63)</f>
        <v>0</v>
      </c>
      <c r="AH62" s="104"/>
      <c r="AI62" s="57"/>
      <c r="AJ62" s="124">
        <f>AH63</f>
        <v>0</v>
      </c>
      <c r="AK62" s="113">
        <f>MAX($AL$10:$AL$97) - AL62</f>
        <v>22</v>
      </c>
      <c r="AL62" s="124">
        <f>$S62+$AB62+$AG62+$AJ62</f>
        <v>22</v>
      </c>
    </row>
    <row r="63" spans="1:38" s="27" customFormat="1" hidden="1" x14ac:dyDescent="0.2">
      <c r="A63" s="119" t="e">
        <f>RANK(AL63,$AL$10:$AL$97,)</f>
        <v>#N/A</v>
      </c>
      <c r="B63" s="100"/>
      <c r="C63" s="128">
        <f>(IF($C62&lt;&gt;"",($C$6*$O$104)+IF($C$6=4,($O$102)+IF($C62=$C$6+$D$6,$O$103,0),0),0)+IF($D62&lt;&gt;"",($D$6*$O$104)+IF($D$6=4,($O$102)+IF($D62=$C$6+$D$6,$O$103,0),0),0))</f>
        <v>0</v>
      </c>
      <c r="D63" s="129"/>
      <c r="E63" s="127">
        <f>(IF($E62&lt;&gt;"",($E$6*$O$104)+IF($E$6=4,($O$102)+IF($E62=$E$6+$F$6,$O$103,0),0),0)+IF($F62&lt;&gt;"",($F$6*$O$104)+IF($F$6=4,($O$102)+IF($F62=$E$6+$F$6,$O$103,0),0),0))</f>
        <v>11</v>
      </c>
      <c r="F63" s="129"/>
      <c r="G63" s="127">
        <f>(IF($G62&lt;&gt;"",($G$6*$O$104)+IF($G$6=4,($O$102)+IF($G62=$G$6+$H$6,$O$103,0),0),0)+IF($H62&lt;&gt;"",($H$6*$O$104)+IF($H$6=4,($O$102)+IF($H62=$G$6+$H$6,$O$103,0),0),0))</f>
        <v>3</v>
      </c>
      <c r="H63" s="129"/>
      <c r="I63" s="130">
        <f>(IF($I62&lt;&gt;"",($I$6*$O$104)+IF($I$6=4,($O$102)+IF($I62=$I$6+$J$6,$O$103,0),0),0)+IF($J62&lt;&gt;"",($J$6*$O$104)+IF($J$6=4,($O$102)+IF($J62=$I$6+$J$6,$O$103,0),0),0))</f>
        <v>0</v>
      </c>
      <c r="J63" s="131"/>
      <c r="K63" s="132">
        <f>(IF($K62&lt;&gt;"",($K$6*$O$104)+IF($K$6=4,($O$102)+IF($K62=$K$6+$L$6,$O$103,0),0),0)+IF($L62&lt;&gt;"",($L$6*$O$104)+IF($L$6=4,($O$102)+IF($L62=$K$6+$L$6,$O$103,0),0),0))</f>
        <v>1</v>
      </c>
      <c r="L63" s="129"/>
      <c r="M63" s="127">
        <f>(IF($M62&lt;&gt;"",($M$6*$O$104)+IF($M$6=4,($O$102)+IF($M62=$M$6+$N$6,$O$103,0),0),0)+IF($N62&lt;&gt;"",($N$6*$O$104)+IF($N$6=4,($O$102)+IF($N62=$M$6+$N$6,$O$103,0),0),0))</f>
        <v>2</v>
      </c>
      <c r="N63" s="129"/>
      <c r="O63" s="130">
        <f>(IF($O62&lt;&gt;"",($O$6*$O$104)+IF($O$6=4,($O$102)+IF($O62=$O$6+$P$6,$O$103,0),0),0)+IF($P62&lt;&gt;"",($P$6*$O$104)+IF($P$6=4,($O$102)+IF($P62=$O$6+$P$6,$O$103,0),0),0))</f>
        <v>2</v>
      </c>
      <c r="P63" s="129"/>
      <c r="Q63" s="130">
        <f>(IF($Q62&lt;&gt;"",($Q$6*$O$104)+IF($Q$6=4,($O$102)+IF($Q62=$Q$6+$R$6,$O$103,0),0),0)+IF($R62&lt;&gt;"",($R$6*$O$104)+IF($R$6=4,($O$102)+IF($R62=$Q$6+$R$6,$O$103,0),0),0))</f>
        <v>3</v>
      </c>
      <c r="R63" s="133"/>
      <c r="S63" s="123"/>
      <c r="T63" s="59"/>
      <c r="U63" s="60"/>
      <c r="V63" s="61"/>
      <c r="W63" s="62"/>
      <c r="X63" s="63"/>
      <c r="Y63" s="60"/>
      <c r="Z63" s="61"/>
      <c r="AA63" s="64"/>
      <c r="AB63" s="123"/>
      <c r="AC63" s="140"/>
      <c r="AD63" s="137"/>
      <c r="AE63" s="138"/>
      <c r="AF63" s="140"/>
      <c r="AG63" s="123"/>
      <c r="AH63" s="134"/>
      <c r="AI63" s="139"/>
      <c r="AJ63" s="123"/>
      <c r="AK63" s="112"/>
      <c r="AL63" s="123"/>
    </row>
    <row r="64" spans="1:38" s="27" customFormat="1" hidden="1" x14ac:dyDescent="0.2">
      <c r="A64" s="101"/>
      <c r="B64" s="126" t="s">
        <v>52</v>
      </c>
      <c r="C64" s="120">
        <f>IF(ISBLANK(C62),
0,
IF(C$6= 4, 1, 0))</f>
        <v>0</v>
      </c>
      <c r="D64" s="120">
        <f>IF(ISBLANK(D62),
0,
IF(D$6 = 4, 1, 0))</f>
        <v>0</v>
      </c>
      <c r="E64" s="120">
        <f>IF(ISBLANK(E62),
0,
IF(E$6= 4, 1, 0))</f>
        <v>1</v>
      </c>
      <c r="F64" s="120">
        <f>IF(ISBLANK(F62),
0,
IF(F$6 = 4, 1, 0))</f>
        <v>0</v>
      </c>
      <c r="G64" s="120">
        <f>IF(ISBLANK(G62),
0,
IF(G$6= 4, 1, 0))</f>
        <v>0</v>
      </c>
      <c r="H64" s="120">
        <f>IF(ISBLANK(H62),
0,
IF(H$6 = 4, 1, 0))</f>
        <v>0</v>
      </c>
      <c r="I64" s="120">
        <f>IF(ISBLANK(I62),
0,
IF(I$6= 4, 1, 0))</f>
        <v>0</v>
      </c>
      <c r="J64" s="120">
        <f>IF(ISBLANK(J62),
0,
IF(J$6 = 4, 1, 0))</f>
        <v>0</v>
      </c>
      <c r="K64" s="120">
        <f>IF(ISBLANK(K62),
0,
IF(K$6= 4, 1, 0))</f>
        <v>0</v>
      </c>
      <c r="L64" s="120">
        <f>IF(ISBLANK(L62),
0,
IF(L$6 = 4, 1, 0))</f>
        <v>0</v>
      </c>
      <c r="M64" s="120">
        <f>IF(ISBLANK(M62),
0,
IF(M$6= 4, 1, 0))</f>
        <v>0</v>
      </c>
      <c r="N64" s="120">
        <f>IF(ISBLANK(N62),
0,
IF(N$6 = 4, 1, 0))</f>
        <v>0</v>
      </c>
      <c r="O64" s="120">
        <f>IF(ISBLANK(O62),
0,
IF(O$6= 4, 1, 0))</f>
        <v>0</v>
      </c>
      <c r="P64" s="120">
        <f>IF(ISBLANK(P62),
0,
IF(P$6 = 4, 1, 0))</f>
        <v>0</v>
      </c>
      <c r="Q64" s="120">
        <f>IF(ISBLANK(Q62),
0,
IF(Q$6= 4, 1, 0))</f>
        <v>0</v>
      </c>
      <c r="R64" s="120">
        <f>IF(ISBLANK(R62),
0,
IF(R$6 = 4, 1, 0))</f>
        <v>0</v>
      </c>
      <c r="S64" s="142"/>
      <c r="T64" s="77"/>
      <c r="U64" s="77"/>
      <c r="V64" s="77"/>
      <c r="W64" s="77"/>
      <c r="X64" s="77"/>
      <c r="Y64" s="77"/>
      <c r="Z64" s="77"/>
      <c r="AA64" s="77"/>
      <c r="AB64" s="142"/>
      <c r="AC64" s="120"/>
      <c r="AD64" s="120"/>
      <c r="AE64" s="120"/>
      <c r="AF64" s="120"/>
      <c r="AG64" s="142"/>
      <c r="AH64" s="120"/>
      <c r="AI64" s="120"/>
      <c r="AJ64" s="142"/>
      <c r="AK64" s="143">
        <f>SUM(C64:AI64)</f>
        <v>1</v>
      </c>
      <c r="AL64" s="125"/>
    </row>
    <row r="65" spans="1:38" s="27" customFormat="1" hidden="1" x14ac:dyDescent="0.2">
      <c r="A65" s="101"/>
      <c r="B65" s="126" t="s">
        <v>53</v>
      </c>
      <c r="C65" s="120">
        <f>IF(C64 = 0,
0,
IF(C62 = (C$6+D$6),1,0))</f>
        <v>0</v>
      </c>
      <c r="D65" s="120">
        <f>IF(D64 = 0,
0,
IF(D62 = (C$6+D$6),1,0))</f>
        <v>0</v>
      </c>
      <c r="E65" s="120">
        <f>IF(E64 = 0,
0,
IF(E62 = (E$6+F$6),1,0))</f>
        <v>1</v>
      </c>
      <c r="F65" s="120">
        <f>IF(F64 = 0,
0,
IF(F62 = (E$6+F$6),1,0))</f>
        <v>0</v>
      </c>
      <c r="G65" s="120">
        <f>IF(G64 = 0,
0,
IF(G62 = (G$6+H$6),1,0))</f>
        <v>0</v>
      </c>
      <c r="H65" s="120">
        <f>IF(H64 = 0,
0,
IF(H62 = (G$6+H$6),1,0))</f>
        <v>0</v>
      </c>
      <c r="I65" s="120">
        <f>IF(I64 = 0,
0,
IF(I62 = (I$6+J$6),1,0))</f>
        <v>0</v>
      </c>
      <c r="J65" s="120">
        <f>IF(J64 = 0,
0,
IF(J62 = (I$6+J$6),1,0))</f>
        <v>0</v>
      </c>
      <c r="K65" s="120">
        <f>IF(K64 = 0,
0,
IF(K62 = (K$6+L$6),1,0))</f>
        <v>0</v>
      </c>
      <c r="L65" s="120">
        <f>IF(L64 = 0,
0,
IF(L62 = (K$6+L$6),1,0))</f>
        <v>0</v>
      </c>
      <c r="M65" s="120">
        <f>IF(M64 = 0,
0,
IF(M62 = (M$6+N$6),1,0))</f>
        <v>0</v>
      </c>
      <c r="N65" s="120">
        <f>IF(N64 = 0,
0,
IF(N62 = (M$6+N$6),1,0))</f>
        <v>0</v>
      </c>
      <c r="O65" s="120">
        <f>IF(O64 = 0,
0,
IF(O62 = (O$6+P$6),1,0))</f>
        <v>0</v>
      </c>
      <c r="P65" s="120">
        <f>IF(P64 = 0,
0,
IF(P62 = (O$6+P$6),1,0))</f>
        <v>0</v>
      </c>
      <c r="Q65" s="120">
        <f>IF(Q64 = 0,
0,
IF(Q62 = (Q$6+R$6),1,0))</f>
        <v>0</v>
      </c>
      <c r="R65" s="120">
        <f>IF(R64 = 0,
0,
IF(R62 = (Q$6+R$6),1,0))</f>
        <v>0</v>
      </c>
      <c r="S65" s="142"/>
      <c r="T65" s="77"/>
      <c r="U65" s="77"/>
      <c r="V65" s="77"/>
      <c r="W65" s="77"/>
      <c r="X65" s="77"/>
      <c r="Y65" s="77"/>
      <c r="Z65" s="77"/>
      <c r="AA65" s="77"/>
      <c r="AB65" s="142"/>
      <c r="AC65" s="120"/>
      <c r="AD65" s="120"/>
      <c r="AE65" s="120"/>
      <c r="AF65" s="120"/>
      <c r="AG65" s="142"/>
      <c r="AH65" s="120"/>
      <c r="AI65" s="120"/>
      <c r="AJ65" s="142"/>
      <c r="AK65" s="143">
        <f>SUM(C65:AI65)</f>
        <v>1</v>
      </c>
      <c r="AL65" s="125"/>
    </row>
    <row r="66" spans="1:38" s="27" customFormat="1" ht="12.75" customHeight="1" x14ac:dyDescent="0.2">
      <c r="A66" s="177">
        <f>RANK(AL66,$AL$10:$AL$97,)</f>
        <v>15</v>
      </c>
      <c r="B66" s="201" t="s">
        <v>67</v>
      </c>
      <c r="C66" s="189">
        <v>4</v>
      </c>
      <c r="D66" s="190"/>
      <c r="E66" s="191">
        <v>4</v>
      </c>
      <c r="F66" s="190"/>
      <c r="G66" s="192">
        <v>6</v>
      </c>
      <c r="H66" s="193"/>
      <c r="I66" s="191"/>
      <c r="J66" s="193">
        <v>6</v>
      </c>
      <c r="K66" s="194">
        <v>6</v>
      </c>
      <c r="L66" s="193"/>
      <c r="M66" s="191">
        <v>5</v>
      </c>
      <c r="N66" s="190"/>
      <c r="O66" s="191">
        <v>6</v>
      </c>
      <c r="P66" s="190"/>
      <c r="Q66" s="192"/>
      <c r="R66" s="195">
        <v>6</v>
      </c>
      <c r="S66" s="196">
        <f>SUM(C67:R67)</f>
        <v>20</v>
      </c>
      <c r="T66" s="189"/>
      <c r="U66" s="193">
        <v>6</v>
      </c>
      <c r="V66" s="191"/>
      <c r="W66" s="193">
        <v>7</v>
      </c>
      <c r="X66" s="194"/>
      <c r="Y66" s="190">
        <v>7</v>
      </c>
      <c r="Z66" s="192">
        <v>6</v>
      </c>
      <c r="AA66" s="193"/>
      <c r="AB66" s="196">
        <f>SUM(T67:AA67)</f>
        <v>0</v>
      </c>
      <c r="AC66" s="192"/>
      <c r="AD66" s="245"/>
      <c r="AE66" s="194"/>
      <c r="AF66" s="193"/>
      <c r="AG66" s="196">
        <f>SUM(AC67:AF67)</f>
        <v>0</v>
      </c>
      <c r="AH66" s="200"/>
      <c r="AI66" s="197"/>
      <c r="AJ66" s="196">
        <f>AH67</f>
        <v>0</v>
      </c>
      <c r="AK66" s="198">
        <f>MAX($AL$10:$AL$97) - AL66</f>
        <v>24</v>
      </c>
      <c r="AL66" s="196">
        <f>$S66+$AB66+$AG66+$AJ66</f>
        <v>20</v>
      </c>
    </row>
    <row r="67" spans="1:38" s="27" customFormat="1" hidden="1" x14ac:dyDescent="0.2">
      <c r="A67" s="119" t="e">
        <f>RANK(AL67,$AL$10:$AL$97,)</f>
        <v>#N/A</v>
      </c>
      <c r="B67" s="100"/>
      <c r="C67" s="128">
        <f>(IF($C66&lt;&gt;"",($C$6*$O$104)+IF($C$6=4,($O$102)+IF($C66=$C$6+$D$6,$O$103,0),0),0)+IF($D66&lt;&gt;"",($D$6*$O$104)+IF($D$6=4,($O$102)+IF($D66=$C$6+$D$6,$O$103,0),0),0))</f>
        <v>0</v>
      </c>
      <c r="D67" s="129"/>
      <c r="E67" s="127">
        <f>(IF($E66&lt;&gt;"",($E$6*$O$104)+IF($E$6=4,($O$102)+IF($E66=$E$6+$F$6,$O$103,0),0),0)+IF($F66&lt;&gt;"",($F$6*$O$104)+IF($F$6=4,($O$102)+IF($F66=$E$6+$F$6,$O$103,0),0),0))</f>
        <v>9</v>
      </c>
      <c r="F67" s="129"/>
      <c r="G67" s="127">
        <f>(IF($G66&lt;&gt;"",($G$6*$O$104)+IF($G$6=4,($O$102)+IF($G66=$G$6+$H$6,$O$103,0),0),0)+IF($H66&lt;&gt;"",($H$6*$O$104)+IF($H$6=4,($O$102)+IF($H66=$G$6+$H$6,$O$103,0),0),0))</f>
        <v>3</v>
      </c>
      <c r="H67" s="129"/>
      <c r="I67" s="130">
        <f>(IF($I66&lt;&gt;"",($I$6*$O$104)+IF($I$6=4,($O$102)+IF($I66=$I$6+$J$6,$O$103,0),0),0)+IF($J66&lt;&gt;"",($J$6*$O$104)+IF($J$6=4,($O$102)+IF($J66=$I$6+$J$6,$O$103,0),0),0))</f>
        <v>0</v>
      </c>
      <c r="J67" s="131"/>
      <c r="K67" s="132">
        <f>(IF($K66&lt;&gt;"",($K$6*$O$104)+IF($K$6=4,($O$102)+IF($K66=$K$6+$L$6,$O$103,0),0),0)+IF($L66&lt;&gt;"",($L$6*$O$104)+IF($L$6=4,($O$102)+IF($L66=$K$6+$L$6,$O$103,0),0),0))</f>
        <v>1</v>
      </c>
      <c r="L67" s="129"/>
      <c r="M67" s="127">
        <f>(IF($M66&lt;&gt;"",($M$6*$O$104)+IF($M$6=4,($O$102)+IF($M66=$M$6+$N$6,$O$103,0),0),0)+IF($N66&lt;&gt;"",($N$6*$O$104)+IF($N$6=4,($O$102)+IF($N66=$M$6+$N$6,$O$103,0),0),0))</f>
        <v>2</v>
      </c>
      <c r="N67" s="129"/>
      <c r="O67" s="130">
        <f>(IF($O66&lt;&gt;"",($O$6*$O$104)+IF($O$6=4,($O$102)+IF($O66=$O$6+$P$6,$O$103,0),0),0)+IF($P66&lt;&gt;"",($P$6*$O$104)+IF($P$6=4,($O$102)+IF($P66=$O$6+$P$6,$O$103,0),0),0))</f>
        <v>2</v>
      </c>
      <c r="P67" s="129"/>
      <c r="Q67" s="130">
        <f>(IF($Q66&lt;&gt;"",($Q$6*$O$104)+IF($Q$6=4,($O$102)+IF($Q66=$Q$6+$R$6,$O$103,0),0),0)+IF($R66&lt;&gt;"",($R$6*$O$104)+IF($R$6=4,($O$102)+IF($R66=$Q$6+$R$6,$O$103,0),0),0))</f>
        <v>3</v>
      </c>
      <c r="R67" s="133"/>
      <c r="S67" s="123"/>
      <c r="T67" s="59"/>
      <c r="U67" s="60"/>
      <c r="V67" s="61"/>
      <c r="W67" s="62"/>
      <c r="X67" s="63"/>
      <c r="Y67" s="60"/>
      <c r="Z67" s="61"/>
      <c r="AA67" s="64"/>
      <c r="AB67" s="123"/>
      <c r="AC67" s="140"/>
      <c r="AD67" s="137"/>
      <c r="AE67" s="138"/>
      <c r="AF67" s="140"/>
      <c r="AG67" s="123"/>
      <c r="AH67" s="134"/>
      <c r="AI67" s="139"/>
      <c r="AJ67" s="123"/>
      <c r="AK67" s="112"/>
      <c r="AL67" s="123"/>
    </row>
    <row r="68" spans="1:38" s="27" customFormat="1" hidden="1" x14ac:dyDescent="0.2">
      <c r="A68" s="101"/>
      <c r="B68" s="126" t="s">
        <v>52</v>
      </c>
      <c r="C68" s="120">
        <f>IF(ISBLANK(C66),
0,
IF(C$6= 4, 1, 0))</f>
        <v>0</v>
      </c>
      <c r="D68" s="120">
        <f>IF(ISBLANK(D66),
0,
IF(D$6 = 4, 1, 0))</f>
        <v>0</v>
      </c>
      <c r="E68" s="120">
        <f>IF(ISBLANK(E66),
0,
IF(E$6= 4, 1, 0))</f>
        <v>1</v>
      </c>
      <c r="F68" s="120">
        <f>IF(ISBLANK(F66),
0,
IF(F$6 = 4, 1, 0))</f>
        <v>0</v>
      </c>
      <c r="G68" s="120">
        <f>IF(ISBLANK(G66),
0,
IF(G$6= 4, 1, 0))</f>
        <v>0</v>
      </c>
      <c r="H68" s="120">
        <f>IF(ISBLANK(H66),
0,
IF(H$6 = 4, 1, 0))</f>
        <v>0</v>
      </c>
      <c r="I68" s="120">
        <f>IF(ISBLANK(I66),
0,
IF(I$6= 4, 1, 0))</f>
        <v>0</v>
      </c>
      <c r="J68" s="120">
        <f>IF(ISBLANK(J66),
0,
IF(J$6 = 4, 1, 0))</f>
        <v>0</v>
      </c>
      <c r="K68" s="120">
        <f>IF(ISBLANK(K66),
0,
IF(K$6= 4, 1, 0))</f>
        <v>0</v>
      </c>
      <c r="L68" s="120">
        <f>IF(ISBLANK(L66),
0,
IF(L$6 = 4, 1, 0))</f>
        <v>0</v>
      </c>
      <c r="M68" s="120">
        <f>IF(ISBLANK(M66),
0,
IF(M$6= 4, 1, 0))</f>
        <v>0</v>
      </c>
      <c r="N68" s="120">
        <f>IF(ISBLANK(N66),
0,
IF(N$6 = 4, 1, 0))</f>
        <v>0</v>
      </c>
      <c r="O68" s="120">
        <f>IF(ISBLANK(O66),
0,
IF(O$6= 4, 1, 0))</f>
        <v>0</v>
      </c>
      <c r="P68" s="120">
        <f>IF(ISBLANK(P66),
0,
IF(P$6 = 4, 1, 0))</f>
        <v>0</v>
      </c>
      <c r="Q68" s="120">
        <f>IF(ISBLANK(Q66),
0,
IF(Q$6= 4, 1, 0))</f>
        <v>0</v>
      </c>
      <c r="R68" s="120">
        <f>IF(ISBLANK(R66),
0,
IF(R$6 = 4, 1, 0))</f>
        <v>0</v>
      </c>
      <c r="S68" s="142"/>
      <c r="T68" s="77"/>
      <c r="U68" s="77"/>
      <c r="V68" s="77"/>
      <c r="W68" s="77"/>
      <c r="X68" s="77"/>
      <c r="Y68" s="77"/>
      <c r="Z68" s="77"/>
      <c r="AA68" s="77"/>
      <c r="AB68" s="142"/>
      <c r="AC68" s="120"/>
      <c r="AD68" s="120"/>
      <c r="AE68" s="120"/>
      <c r="AF68" s="120"/>
      <c r="AG68" s="142"/>
      <c r="AH68" s="120"/>
      <c r="AI68" s="120"/>
      <c r="AJ68" s="142"/>
      <c r="AK68" s="143">
        <f>SUM(C68:AI68)</f>
        <v>1</v>
      </c>
      <c r="AL68" s="125"/>
    </row>
    <row r="69" spans="1:38" s="27" customFormat="1" hidden="1" x14ac:dyDescent="0.2">
      <c r="A69" s="101"/>
      <c r="B69" s="126" t="s">
        <v>53</v>
      </c>
      <c r="C69" s="120">
        <f>IF(C68 = 0,
0,
IF(C66 = (C$6+D$6),1,0))</f>
        <v>0</v>
      </c>
      <c r="D69" s="120">
        <f>IF(D68 = 0,
0,
IF(D66 = (C$6+D$6),1,0))</f>
        <v>0</v>
      </c>
      <c r="E69" s="120">
        <f>IF(E68 = 0,
0,
IF(E66 = (E$6+F$6),1,0))</f>
        <v>0</v>
      </c>
      <c r="F69" s="120">
        <f>IF(F68 = 0,
0,
IF(F66 = (E$6+F$6),1,0))</f>
        <v>0</v>
      </c>
      <c r="G69" s="120">
        <f>IF(G68 = 0,
0,
IF(G66 = (G$6+H$6),1,0))</f>
        <v>0</v>
      </c>
      <c r="H69" s="120">
        <f>IF(H68 = 0,
0,
IF(H66 = (G$6+H$6),1,0))</f>
        <v>0</v>
      </c>
      <c r="I69" s="120">
        <f>IF(I68 = 0,
0,
IF(I66 = (I$6+J$6),1,0))</f>
        <v>0</v>
      </c>
      <c r="J69" s="120">
        <f>IF(J68 = 0,
0,
IF(J66 = (I$6+J$6),1,0))</f>
        <v>0</v>
      </c>
      <c r="K69" s="120">
        <f>IF(K68 = 0,
0,
IF(K66 = (K$6+L$6),1,0))</f>
        <v>0</v>
      </c>
      <c r="L69" s="120">
        <f>IF(L68 = 0,
0,
IF(L66 = (K$6+L$6),1,0))</f>
        <v>0</v>
      </c>
      <c r="M69" s="120">
        <f>IF(M68 = 0,
0,
IF(M66 = (M$6+N$6),1,0))</f>
        <v>0</v>
      </c>
      <c r="N69" s="120">
        <f>IF(N68 = 0,
0,
IF(N66 = (M$6+N$6),1,0))</f>
        <v>0</v>
      </c>
      <c r="O69" s="120">
        <f>IF(O68 = 0,
0,
IF(O66 = (O$6+P$6),1,0))</f>
        <v>0</v>
      </c>
      <c r="P69" s="120">
        <f>IF(P68 = 0,
0,
IF(P66 = (O$6+P$6),1,0))</f>
        <v>0</v>
      </c>
      <c r="Q69" s="120">
        <f>IF(Q68 = 0,
0,
IF(Q66 = (Q$6+R$6),1,0))</f>
        <v>0</v>
      </c>
      <c r="R69" s="120">
        <f>IF(R68 = 0,
0,
IF(R66 = (Q$6+R$6),1,0))</f>
        <v>0</v>
      </c>
      <c r="S69" s="142"/>
      <c r="T69" s="77"/>
      <c r="U69" s="77"/>
      <c r="V69" s="77"/>
      <c r="W69" s="77"/>
      <c r="X69" s="77"/>
      <c r="Y69" s="77"/>
      <c r="Z69" s="77"/>
      <c r="AA69" s="77"/>
      <c r="AB69" s="142"/>
      <c r="AC69" s="120"/>
      <c r="AD69" s="120"/>
      <c r="AE69" s="120"/>
      <c r="AF69" s="120"/>
      <c r="AG69" s="142"/>
      <c r="AH69" s="120"/>
      <c r="AI69" s="120"/>
      <c r="AJ69" s="142"/>
      <c r="AK69" s="143">
        <f>SUM(C69:AI69)</f>
        <v>0</v>
      </c>
      <c r="AL69" s="125"/>
    </row>
    <row r="70" spans="1:38" s="27" customFormat="1" ht="12.75" customHeight="1" x14ac:dyDescent="0.2">
      <c r="A70" s="119">
        <f>RANK(AL70,$AL$10:$AL$97,)</f>
        <v>15</v>
      </c>
      <c r="B70" s="86" t="s">
        <v>68</v>
      </c>
      <c r="C70" s="238">
        <v>5</v>
      </c>
      <c r="D70" s="239"/>
      <c r="E70" s="240">
        <v>6</v>
      </c>
      <c r="F70" s="239"/>
      <c r="G70" s="241">
        <v>5</v>
      </c>
      <c r="H70" s="242"/>
      <c r="I70" s="240"/>
      <c r="J70" s="242">
        <v>6</v>
      </c>
      <c r="K70" s="243">
        <v>6</v>
      </c>
      <c r="L70" s="242"/>
      <c r="M70" s="240">
        <v>7</v>
      </c>
      <c r="N70" s="239"/>
      <c r="O70" s="240">
        <v>6</v>
      </c>
      <c r="P70" s="239"/>
      <c r="Q70" s="241"/>
      <c r="R70" s="244">
        <v>6</v>
      </c>
      <c r="S70" s="124">
        <f>SUM(C71:R71)</f>
        <v>20</v>
      </c>
      <c r="T70" s="46"/>
      <c r="U70" s="47">
        <v>6</v>
      </c>
      <c r="V70" s="44">
        <v>7</v>
      </c>
      <c r="W70" s="47"/>
      <c r="X70" s="49">
        <v>6</v>
      </c>
      <c r="Y70" s="45"/>
      <c r="Z70" s="48">
        <v>7</v>
      </c>
      <c r="AA70" s="47"/>
      <c r="AB70" s="124">
        <f>SUM(T71:AA71)</f>
        <v>0</v>
      </c>
      <c r="AC70" s="48"/>
      <c r="AD70" s="47"/>
      <c r="AE70" s="49"/>
      <c r="AF70" s="47"/>
      <c r="AG70" s="124">
        <f>SUM(AC71:AF71)</f>
        <v>0</v>
      </c>
      <c r="AH70" s="102"/>
      <c r="AI70" s="58"/>
      <c r="AJ70" s="124">
        <f>AH71</f>
        <v>0</v>
      </c>
      <c r="AK70" s="113">
        <f>MAX($AL$10:$AL$97) - AL70</f>
        <v>24</v>
      </c>
      <c r="AL70" s="124">
        <f>$S70+$AB70+$AG70+$AJ70</f>
        <v>20</v>
      </c>
    </row>
    <row r="71" spans="1:38" s="27" customFormat="1" hidden="1" x14ac:dyDescent="0.2">
      <c r="A71" s="119" t="e">
        <f>RANK(AL71,$AL$10:$AL$97,)</f>
        <v>#N/A</v>
      </c>
      <c r="B71" s="100"/>
      <c r="C71" s="128">
        <f>(IF($C70&lt;&gt;"",($C$6*$O$104)+IF($C$6=4,($O$102)+IF($C70=$C$6+$D$6,$O$103,0),0),0)+IF($D70&lt;&gt;"",($D$6*$O$104)+IF($D$6=4,($O$102)+IF($D70=$C$6+$D$6,$O$103,0),0),0))</f>
        <v>0</v>
      </c>
      <c r="D71" s="129"/>
      <c r="E71" s="127">
        <f>(IF($E70&lt;&gt;"",($E$6*$O$104)+IF($E$6=4,($O$102)+IF($E70=$E$6+$F$6,$O$103,0),0),0)+IF($F70&lt;&gt;"",($F$6*$O$104)+IF($F$6=4,($O$102)+IF($F70=$E$6+$F$6,$O$103,0),0),0))</f>
        <v>9</v>
      </c>
      <c r="F71" s="129"/>
      <c r="G71" s="127">
        <f>(IF($G70&lt;&gt;"",($G$6*$O$104)+IF($G$6=4,($O$102)+IF($G70=$G$6+$H$6,$O$103,0),0),0)+IF($H70&lt;&gt;"",($H$6*$O$104)+IF($H$6=4,($O$102)+IF($H70=$G$6+$H$6,$O$103,0),0),0))</f>
        <v>3</v>
      </c>
      <c r="H71" s="129"/>
      <c r="I71" s="130">
        <f>(IF($I70&lt;&gt;"",($I$6*$O$104)+IF($I$6=4,($O$102)+IF($I70=$I$6+$J$6,$O$103,0),0),0)+IF($J70&lt;&gt;"",($J$6*$O$104)+IF($J$6=4,($O$102)+IF($J70=$I$6+$J$6,$O$103,0),0),0))</f>
        <v>0</v>
      </c>
      <c r="J71" s="131"/>
      <c r="K71" s="132">
        <f>(IF($K70&lt;&gt;"",($K$6*$O$104)+IF($K$6=4,($O$102)+IF($K70=$K$6+$L$6,$O$103,0),0),0)+IF($L70&lt;&gt;"",($L$6*$O$104)+IF($L$6=4,($O$102)+IF($L70=$K$6+$L$6,$O$103,0),0),0))</f>
        <v>1</v>
      </c>
      <c r="L71" s="129"/>
      <c r="M71" s="127">
        <f>(IF($M70&lt;&gt;"",($M$6*$O$104)+IF($M$6=4,($O$102)+IF($M70=$M$6+$N$6,$O$103,0),0),0)+IF($N70&lt;&gt;"",($N$6*$O$104)+IF($N$6=4,($O$102)+IF($N70=$M$6+$N$6,$O$103,0),0),0))</f>
        <v>2</v>
      </c>
      <c r="N71" s="129"/>
      <c r="O71" s="130">
        <f>(IF($O70&lt;&gt;"",($O$6*$O$104)+IF($O$6=4,($O$102)+IF($O70=$O$6+$P$6,$O$103,0),0),0)+IF($P70&lt;&gt;"",($P$6*$O$104)+IF($P$6=4,($O$102)+IF($P70=$O$6+$P$6,$O$103,0),0),0))</f>
        <v>2</v>
      </c>
      <c r="P71" s="129"/>
      <c r="Q71" s="130">
        <f>(IF($Q70&lt;&gt;"",($Q$6*$O$104)+IF($Q$6=4,($O$102)+IF($Q70=$Q$6+$R$6,$O$103,0),0),0)+IF($R70&lt;&gt;"",($R$6*$O$104)+IF($R$6=4,($O$102)+IF($R70=$Q$6+$R$6,$O$103,0),0),0))</f>
        <v>3</v>
      </c>
      <c r="R71" s="133"/>
      <c r="S71" s="123"/>
      <c r="T71" s="59"/>
      <c r="U71" s="60"/>
      <c r="V71" s="61"/>
      <c r="W71" s="62"/>
      <c r="X71" s="63"/>
      <c r="Y71" s="60"/>
      <c r="Z71" s="61"/>
      <c r="AA71" s="64"/>
      <c r="AB71" s="123"/>
      <c r="AC71" s="140"/>
      <c r="AD71" s="137"/>
      <c r="AE71" s="138"/>
      <c r="AF71" s="140"/>
      <c r="AG71" s="123"/>
      <c r="AH71" s="134"/>
      <c r="AI71" s="139"/>
      <c r="AJ71" s="123"/>
      <c r="AK71" s="112"/>
      <c r="AL71" s="123"/>
    </row>
    <row r="72" spans="1:38" s="27" customFormat="1" hidden="1" x14ac:dyDescent="0.2">
      <c r="A72" s="101"/>
      <c r="B72" s="126" t="s">
        <v>52</v>
      </c>
      <c r="C72" s="120">
        <f>IF(ISBLANK(C70),
0,
IF(C$6= 4, 1, 0))</f>
        <v>0</v>
      </c>
      <c r="D72" s="120">
        <f>IF(ISBLANK(D70),
0,
IF(D$6 = 4, 1, 0))</f>
        <v>0</v>
      </c>
      <c r="E72" s="120">
        <f>IF(ISBLANK(E70),
0,
IF(E$6= 4, 1, 0))</f>
        <v>1</v>
      </c>
      <c r="F72" s="120">
        <f>IF(ISBLANK(F70),
0,
IF(F$6 = 4, 1, 0))</f>
        <v>0</v>
      </c>
      <c r="G72" s="120">
        <f>IF(ISBLANK(G70),
0,
IF(G$6= 4, 1, 0))</f>
        <v>0</v>
      </c>
      <c r="H72" s="120">
        <f>IF(ISBLANK(H70),
0,
IF(H$6 = 4, 1, 0))</f>
        <v>0</v>
      </c>
      <c r="I72" s="120">
        <f>IF(ISBLANK(I70),
0,
IF(I$6= 4, 1, 0))</f>
        <v>0</v>
      </c>
      <c r="J72" s="120">
        <f>IF(ISBLANK(J70),
0,
IF(J$6 = 4, 1, 0))</f>
        <v>0</v>
      </c>
      <c r="K72" s="120">
        <f>IF(ISBLANK(K70),
0,
IF(K$6= 4, 1, 0))</f>
        <v>0</v>
      </c>
      <c r="L72" s="120">
        <f>IF(ISBLANK(L70),
0,
IF(L$6 = 4, 1, 0))</f>
        <v>0</v>
      </c>
      <c r="M72" s="120">
        <f>IF(ISBLANK(M70),
0,
IF(M$6= 4, 1, 0))</f>
        <v>0</v>
      </c>
      <c r="N72" s="120">
        <f>IF(ISBLANK(N70),
0,
IF(N$6 = 4, 1, 0))</f>
        <v>0</v>
      </c>
      <c r="O72" s="120">
        <f>IF(ISBLANK(O70),
0,
IF(O$6= 4, 1, 0))</f>
        <v>0</v>
      </c>
      <c r="P72" s="120">
        <f>IF(ISBLANK(P70),
0,
IF(P$6 = 4, 1, 0))</f>
        <v>0</v>
      </c>
      <c r="Q72" s="120">
        <f>IF(ISBLANK(Q70),
0,
IF(Q$6= 4, 1, 0))</f>
        <v>0</v>
      </c>
      <c r="R72" s="120">
        <f>IF(ISBLANK(R70),
0,
IF(R$6 = 4, 1, 0))</f>
        <v>0</v>
      </c>
      <c r="S72" s="142"/>
      <c r="T72" s="77"/>
      <c r="U72" s="77"/>
      <c r="V72" s="77"/>
      <c r="W72" s="77"/>
      <c r="X72" s="77"/>
      <c r="Y72" s="77"/>
      <c r="Z72" s="77"/>
      <c r="AA72" s="77"/>
      <c r="AB72" s="142"/>
      <c r="AC72" s="120"/>
      <c r="AD72" s="120"/>
      <c r="AE72" s="120"/>
      <c r="AF72" s="120"/>
      <c r="AG72" s="142"/>
      <c r="AH72" s="120"/>
      <c r="AI72" s="120"/>
      <c r="AJ72" s="142"/>
      <c r="AK72" s="143">
        <f>SUM(C72:AI72)</f>
        <v>1</v>
      </c>
      <c r="AL72" s="125"/>
    </row>
    <row r="73" spans="1:38" s="27" customFormat="1" hidden="1" x14ac:dyDescent="0.2">
      <c r="A73" s="101"/>
      <c r="B73" s="126" t="s">
        <v>53</v>
      </c>
      <c r="C73" s="120">
        <f>IF(C72 = 0,
0,
IF(C70 = (C$6+D$6),1,0))</f>
        <v>0</v>
      </c>
      <c r="D73" s="120">
        <f>IF(D72 = 0,
0,
IF(D70 = (C$6+D$6),1,0))</f>
        <v>0</v>
      </c>
      <c r="E73" s="120">
        <f>IF(E72 = 0,
0,
IF(E70 = (E$6+F$6),1,0))</f>
        <v>0</v>
      </c>
      <c r="F73" s="120">
        <f>IF(F72 = 0,
0,
IF(F70 = (E$6+F$6),1,0))</f>
        <v>0</v>
      </c>
      <c r="G73" s="120">
        <f>IF(G72 = 0,
0,
IF(G70 = (G$6+H$6),1,0))</f>
        <v>0</v>
      </c>
      <c r="H73" s="120">
        <f>IF(H72 = 0,
0,
IF(H70 = (G$6+H$6),1,0))</f>
        <v>0</v>
      </c>
      <c r="I73" s="120">
        <f>IF(I72 = 0,
0,
IF(I70 = (I$6+J$6),1,0))</f>
        <v>0</v>
      </c>
      <c r="J73" s="120">
        <f>IF(J72 = 0,
0,
IF(J70 = (I$6+J$6),1,0))</f>
        <v>0</v>
      </c>
      <c r="K73" s="120">
        <f>IF(K72 = 0,
0,
IF(K70 = (K$6+L$6),1,0))</f>
        <v>0</v>
      </c>
      <c r="L73" s="120">
        <f>IF(L72 = 0,
0,
IF(L70 = (K$6+L$6),1,0))</f>
        <v>0</v>
      </c>
      <c r="M73" s="120">
        <f>IF(M72 = 0,
0,
IF(M70 = (M$6+N$6),1,0))</f>
        <v>0</v>
      </c>
      <c r="N73" s="120">
        <f>IF(N72 = 0,
0,
IF(N70 = (M$6+N$6),1,0))</f>
        <v>0</v>
      </c>
      <c r="O73" s="120">
        <f>IF(O72 = 0,
0,
IF(O70 = (O$6+P$6),1,0))</f>
        <v>0</v>
      </c>
      <c r="P73" s="120">
        <f>IF(P72 = 0,
0,
IF(P70 = (O$6+P$6),1,0))</f>
        <v>0</v>
      </c>
      <c r="Q73" s="120">
        <f>IF(Q72 = 0,
0,
IF(Q70 = (Q$6+R$6),1,0))</f>
        <v>0</v>
      </c>
      <c r="R73" s="120">
        <f>IF(R72 = 0,
0,
IF(R70 = (Q$6+R$6),1,0))</f>
        <v>0</v>
      </c>
      <c r="S73" s="142"/>
      <c r="T73" s="77"/>
      <c r="U73" s="77"/>
      <c r="V73" s="77"/>
      <c r="W73" s="77"/>
      <c r="X73" s="77"/>
      <c r="Y73" s="77"/>
      <c r="Z73" s="77"/>
      <c r="AA73" s="77"/>
      <c r="AB73" s="142"/>
      <c r="AC73" s="120"/>
      <c r="AD73" s="120"/>
      <c r="AE73" s="120"/>
      <c r="AF73" s="120"/>
      <c r="AG73" s="142"/>
      <c r="AH73" s="120"/>
      <c r="AI73" s="120"/>
      <c r="AJ73" s="142"/>
      <c r="AK73" s="143">
        <f>SUM(C73:AI73)</f>
        <v>0</v>
      </c>
      <c r="AL73" s="125"/>
    </row>
    <row r="74" spans="1:38" s="27" customFormat="1" ht="12.75" customHeight="1" x14ac:dyDescent="0.2">
      <c r="A74" s="177">
        <f>RANK(AL74,$AL$10:$AL$97,)</f>
        <v>15</v>
      </c>
      <c r="B74" s="201" t="s">
        <v>82</v>
      </c>
      <c r="C74" s="189">
        <v>6</v>
      </c>
      <c r="D74" s="190"/>
      <c r="E74" s="191">
        <v>6</v>
      </c>
      <c r="F74" s="190"/>
      <c r="G74" s="192">
        <v>6</v>
      </c>
      <c r="H74" s="193"/>
      <c r="I74" s="191"/>
      <c r="J74" s="193">
        <v>7</v>
      </c>
      <c r="K74" s="194">
        <v>5</v>
      </c>
      <c r="L74" s="193"/>
      <c r="M74" s="191">
        <v>7</v>
      </c>
      <c r="N74" s="190"/>
      <c r="O74" s="191">
        <v>6</v>
      </c>
      <c r="P74" s="190"/>
      <c r="Q74" s="192"/>
      <c r="R74" s="195">
        <v>6</v>
      </c>
      <c r="S74" s="196">
        <f>SUM(C75:R75)</f>
        <v>20</v>
      </c>
      <c r="T74" s="189"/>
      <c r="U74" s="193">
        <v>6</v>
      </c>
      <c r="V74" s="191"/>
      <c r="W74" s="193">
        <v>6</v>
      </c>
      <c r="X74" s="194"/>
      <c r="Y74" s="190">
        <v>7</v>
      </c>
      <c r="Z74" s="192"/>
      <c r="AA74" s="193">
        <v>6</v>
      </c>
      <c r="AB74" s="196">
        <f>SUM(T75:AA75)</f>
        <v>0</v>
      </c>
      <c r="AC74" s="192"/>
      <c r="AD74" s="193"/>
      <c r="AE74" s="194"/>
      <c r="AF74" s="193"/>
      <c r="AG74" s="196">
        <f>SUM(AC75:AF75)</f>
        <v>0</v>
      </c>
      <c r="AH74" s="200"/>
      <c r="AI74" s="197"/>
      <c r="AJ74" s="196">
        <f>AH75</f>
        <v>0</v>
      </c>
      <c r="AK74" s="198">
        <f>MAX($AL$10:$AL$97) - AL74</f>
        <v>24</v>
      </c>
      <c r="AL74" s="196">
        <f>$S74+$AB74+$AG74+$AJ74</f>
        <v>20</v>
      </c>
    </row>
    <row r="75" spans="1:38" s="27" customFormat="1" hidden="1" x14ac:dyDescent="0.2">
      <c r="A75" s="119" t="e">
        <f>RANK(AL75,$AL$10:$AL$97,)</f>
        <v>#N/A</v>
      </c>
      <c r="B75" s="100"/>
      <c r="C75" s="128">
        <f>(IF($C74&lt;&gt;"",($C$6*$O$104)+IF($C$6=4,($O$102)+IF($C74=$C$6+$D$6,$O$103,0),0),0)+IF($D74&lt;&gt;"",($D$6*$O$104)+IF($D$6=4,($O$102)+IF($D74=$C$6+$D$6,$O$103,0),0),0))</f>
        <v>0</v>
      </c>
      <c r="D75" s="129"/>
      <c r="E75" s="127">
        <f>(IF($E74&lt;&gt;"",($E$6*$O$104)+IF($E$6=4,($O$102)+IF($E74=$E$6+$F$6,$O$103,0),0),0)+IF($F74&lt;&gt;"",($F$6*$O$104)+IF($F$6=4,($O$102)+IF($F74=$E$6+$F$6,$O$103,0),0),0))</f>
        <v>9</v>
      </c>
      <c r="F75" s="129"/>
      <c r="G75" s="127">
        <f>(IF($G74&lt;&gt;"",($G$6*$O$104)+IF($G$6=4,($O$102)+IF($G74=$G$6+$H$6,$O$103,0),0),0)+IF($H74&lt;&gt;"",($H$6*$O$104)+IF($H$6=4,($O$102)+IF($H74=$G$6+$H$6,$O$103,0),0),0))</f>
        <v>3</v>
      </c>
      <c r="H75" s="129"/>
      <c r="I75" s="130">
        <f>(IF($I74&lt;&gt;"",($I$6*$O$104)+IF($I$6=4,($O$102)+IF($I74=$I$6+$J$6,$O$103,0),0),0)+IF($J74&lt;&gt;"",($J$6*$O$104)+IF($J$6=4,($O$102)+IF($J74=$I$6+$J$6,$O$103,0),0),0))</f>
        <v>0</v>
      </c>
      <c r="J75" s="131"/>
      <c r="K75" s="132">
        <f>(IF($K74&lt;&gt;"",($K$6*$O$104)+IF($K$6=4,($O$102)+IF($K74=$K$6+$L$6,$O$103,0),0),0)+IF($L74&lt;&gt;"",($L$6*$O$104)+IF($L$6=4,($O$102)+IF($L74=$K$6+$L$6,$O$103,0),0),0))</f>
        <v>1</v>
      </c>
      <c r="L75" s="129"/>
      <c r="M75" s="127">
        <f>(IF($M74&lt;&gt;"",($M$6*$O$104)+IF($M$6=4,($O$102)+IF($M74=$M$6+$N$6,$O$103,0),0),0)+IF($N74&lt;&gt;"",($N$6*$O$104)+IF($N$6=4,($O$102)+IF($N74=$M$6+$N$6,$O$103,0),0),0))</f>
        <v>2</v>
      </c>
      <c r="N75" s="129"/>
      <c r="O75" s="130">
        <f>(IF($O74&lt;&gt;"",($O$6*$O$104)+IF($O$6=4,($O$102)+IF($O74=$O$6+$P$6,$O$103,0),0),0)+IF($P74&lt;&gt;"",($P$6*$O$104)+IF($P$6=4,($O$102)+IF($P74=$O$6+$P$6,$O$103,0),0),0))</f>
        <v>2</v>
      </c>
      <c r="P75" s="129"/>
      <c r="Q75" s="130">
        <f>(IF($Q74&lt;&gt;"",($Q$6*$O$104)+IF($Q$6=4,($O$102)+IF($Q74=$Q$6+$R$6,$O$103,0),0),0)+IF($R74&lt;&gt;"",($R$6*$O$104)+IF($R$6=4,($O$102)+IF($R74=$Q$6+$R$6,$O$103,0),0),0))</f>
        <v>3</v>
      </c>
      <c r="R75" s="133"/>
      <c r="S75" s="123"/>
      <c r="T75" s="59"/>
      <c r="U75" s="60"/>
      <c r="V75" s="61"/>
      <c r="W75" s="62"/>
      <c r="X75" s="63"/>
      <c r="Y75" s="60"/>
      <c r="Z75" s="61"/>
      <c r="AA75" s="64"/>
      <c r="AB75" s="123"/>
      <c r="AC75" s="140"/>
      <c r="AD75" s="137"/>
      <c r="AE75" s="138"/>
      <c r="AF75" s="140"/>
      <c r="AG75" s="123"/>
      <c r="AH75" s="134"/>
      <c r="AI75" s="139"/>
      <c r="AJ75" s="123"/>
      <c r="AK75" s="112"/>
      <c r="AL75" s="123"/>
    </row>
    <row r="76" spans="1:38" s="27" customFormat="1" hidden="1" x14ac:dyDescent="0.2">
      <c r="A76" s="101"/>
      <c r="B76" s="126" t="s">
        <v>52</v>
      </c>
      <c r="C76" s="120">
        <f>IF(ISBLANK(C74),
0,
IF(C$6= 4, 1, 0))</f>
        <v>0</v>
      </c>
      <c r="D76" s="120">
        <f>IF(ISBLANK(D74),
0,
IF(D$6 = 4, 1, 0))</f>
        <v>0</v>
      </c>
      <c r="E76" s="120">
        <f>IF(ISBLANK(E74),
0,
IF(E$6= 4, 1, 0))</f>
        <v>1</v>
      </c>
      <c r="F76" s="120">
        <f>IF(ISBLANK(F74),
0,
IF(F$6 = 4, 1, 0))</f>
        <v>0</v>
      </c>
      <c r="G76" s="120">
        <f>IF(ISBLANK(G74),
0,
IF(G$6= 4, 1, 0))</f>
        <v>0</v>
      </c>
      <c r="H76" s="120">
        <f>IF(ISBLANK(H74),
0,
IF(H$6 = 4, 1, 0))</f>
        <v>0</v>
      </c>
      <c r="I76" s="120">
        <f>IF(ISBLANK(I74),
0,
IF(I$6= 4, 1, 0))</f>
        <v>0</v>
      </c>
      <c r="J76" s="120">
        <f>IF(ISBLANK(J74),
0,
IF(J$6 = 4, 1, 0))</f>
        <v>0</v>
      </c>
      <c r="K76" s="120">
        <f>IF(ISBLANK(K74),
0,
IF(K$6= 4, 1, 0))</f>
        <v>0</v>
      </c>
      <c r="L76" s="120">
        <f>IF(ISBLANK(L74),
0,
IF(L$6 = 4, 1, 0))</f>
        <v>0</v>
      </c>
      <c r="M76" s="120">
        <f>IF(ISBLANK(M74),
0,
IF(M$6= 4, 1, 0))</f>
        <v>0</v>
      </c>
      <c r="N76" s="120">
        <f>IF(ISBLANK(N74),
0,
IF(N$6 = 4, 1, 0))</f>
        <v>0</v>
      </c>
      <c r="O76" s="120">
        <f>IF(ISBLANK(O74),
0,
IF(O$6= 4, 1, 0))</f>
        <v>0</v>
      </c>
      <c r="P76" s="120">
        <f>IF(ISBLANK(P74),
0,
IF(P$6 = 4, 1, 0))</f>
        <v>0</v>
      </c>
      <c r="Q76" s="120">
        <f>IF(ISBLANK(Q74),
0,
IF(Q$6= 4, 1, 0))</f>
        <v>0</v>
      </c>
      <c r="R76" s="120">
        <f>IF(ISBLANK(R74),
0,
IF(R$6 = 4, 1, 0))</f>
        <v>0</v>
      </c>
      <c r="S76" s="142"/>
      <c r="T76" s="77"/>
      <c r="U76" s="77"/>
      <c r="V76" s="77"/>
      <c r="W76" s="77"/>
      <c r="X76" s="77"/>
      <c r="Y76" s="77"/>
      <c r="Z76" s="77"/>
      <c r="AA76" s="77"/>
      <c r="AB76" s="142"/>
      <c r="AC76" s="120"/>
      <c r="AD76" s="120"/>
      <c r="AE76" s="120"/>
      <c r="AF76" s="120"/>
      <c r="AG76" s="142"/>
      <c r="AH76" s="120"/>
      <c r="AI76" s="120"/>
      <c r="AJ76" s="142"/>
      <c r="AK76" s="143">
        <f>SUM(C76:AI76)</f>
        <v>1</v>
      </c>
      <c r="AL76" s="125"/>
    </row>
    <row r="77" spans="1:38" s="27" customFormat="1" hidden="1" x14ac:dyDescent="0.2">
      <c r="A77" s="101"/>
      <c r="B77" s="126" t="s">
        <v>53</v>
      </c>
      <c r="C77" s="120">
        <f>IF(C76 = 0,
0,
IF(C74 = (C$6+D$6),1,0))</f>
        <v>0</v>
      </c>
      <c r="D77" s="120">
        <f>IF(D76 = 0,
0,
IF(D74 = (C$6+D$6),1,0))</f>
        <v>0</v>
      </c>
      <c r="E77" s="120">
        <f>IF(E76 = 0,
0,
IF(E74 = (E$6+F$6),1,0))</f>
        <v>0</v>
      </c>
      <c r="F77" s="120">
        <f>IF(F76 = 0,
0,
IF(F74 = (E$6+F$6),1,0))</f>
        <v>0</v>
      </c>
      <c r="G77" s="120">
        <f>IF(G76 = 0,
0,
IF(G74 = (G$6+H$6),1,0))</f>
        <v>0</v>
      </c>
      <c r="H77" s="120">
        <f>IF(H76 = 0,
0,
IF(H74 = (G$6+H$6),1,0))</f>
        <v>0</v>
      </c>
      <c r="I77" s="120">
        <f>IF(I76 = 0,
0,
IF(I74 = (I$6+J$6),1,0))</f>
        <v>0</v>
      </c>
      <c r="J77" s="120">
        <f>IF(J76 = 0,
0,
IF(J74 = (I$6+J$6),1,0))</f>
        <v>0</v>
      </c>
      <c r="K77" s="120">
        <f>IF(K76 = 0,
0,
IF(K74 = (K$6+L$6),1,0))</f>
        <v>0</v>
      </c>
      <c r="L77" s="120">
        <f>IF(L76 = 0,
0,
IF(L74 = (K$6+L$6),1,0))</f>
        <v>0</v>
      </c>
      <c r="M77" s="120">
        <f>IF(M76 = 0,
0,
IF(M74 = (M$6+N$6),1,0))</f>
        <v>0</v>
      </c>
      <c r="N77" s="120">
        <f>IF(N76 = 0,
0,
IF(N74 = (M$6+N$6),1,0))</f>
        <v>0</v>
      </c>
      <c r="O77" s="120">
        <f>IF(O76 = 0,
0,
IF(O74 = (O$6+P$6),1,0))</f>
        <v>0</v>
      </c>
      <c r="P77" s="120">
        <f>IF(P76 = 0,
0,
IF(P74 = (O$6+P$6),1,0))</f>
        <v>0</v>
      </c>
      <c r="Q77" s="120">
        <f>IF(Q76 = 0,
0,
IF(Q74 = (Q$6+R$6),1,0))</f>
        <v>0</v>
      </c>
      <c r="R77" s="120">
        <f>IF(R76 = 0,
0,
IF(R74 = (Q$6+R$6),1,0))</f>
        <v>0</v>
      </c>
      <c r="S77" s="142"/>
      <c r="T77" s="77"/>
      <c r="U77" s="77"/>
      <c r="V77" s="77"/>
      <c r="W77" s="77"/>
      <c r="X77" s="77"/>
      <c r="Y77" s="77"/>
      <c r="Z77" s="77"/>
      <c r="AA77" s="77"/>
      <c r="AB77" s="142"/>
      <c r="AC77" s="120"/>
      <c r="AD77" s="120"/>
      <c r="AE77" s="120"/>
      <c r="AF77" s="120"/>
      <c r="AG77" s="142"/>
      <c r="AH77" s="120"/>
      <c r="AI77" s="120"/>
      <c r="AJ77" s="142"/>
      <c r="AK77" s="143">
        <f>SUM(C77:AI77)</f>
        <v>0</v>
      </c>
      <c r="AL77" s="125"/>
    </row>
    <row r="78" spans="1:38" s="27" customFormat="1" ht="12.75" customHeight="1" x14ac:dyDescent="0.2">
      <c r="A78" s="119">
        <f>RANK(AL78,$AL$10:$AL$97,)</f>
        <v>15</v>
      </c>
      <c r="B78" s="86" t="s">
        <v>80</v>
      </c>
      <c r="C78" s="46">
        <v>5</v>
      </c>
      <c r="D78" s="45"/>
      <c r="E78" s="44">
        <v>6</v>
      </c>
      <c r="F78" s="45"/>
      <c r="G78" s="48">
        <v>6</v>
      </c>
      <c r="H78" s="47"/>
      <c r="I78" s="44"/>
      <c r="J78" s="47">
        <v>6</v>
      </c>
      <c r="K78" s="49">
        <v>7</v>
      </c>
      <c r="L78" s="47"/>
      <c r="M78" s="44">
        <v>6</v>
      </c>
      <c r="N78" s="45"/>
      <c r="O78" s="44">
        <v>5</v>
      </c>
      <c r="P78" s="45"/>
      <c r="Q78" s="48"/>
      <c r="R78" s="50">
        <v>6</v>
      </c>
      <c r="S78" s="124">
        <f>SUM(C79:R79)</f>
        <v>20</v>
      </c>
      <c r="T78" s="46"/>
      <c r="U78" s="47">
        <v>6</v>
      </c>
      <c r="V78" s="44">
        <v>6</v>
      </c>
      <c r="W78" s="47"/>
      <c r="X78" s="49"/>
      <c r="Y78" s="45">
        <v>5</v>
      </c>
      <c r="Z78" s="48"/>
      <c r="AA78" s="47">
        <v>6</v>
      </c>
      <c r="AB78" s="124">
        <f>SUM(T79:AA79)</f>
        <v>0</v>
      </c>
      <c r="AC78" s="48"/>
      <c r="AD78" s="47"/>
      <c r="AE78" s="49"/>
      <c r="AF78" s="47"/>
      <c r="AG78" s="124">
        <f>SUM(AC79:AF79)</f>
        <v>0</v>
      </c>
      <c r="AH78" s="102"/>
      <c r="AI78" s="58"/>
      <c r="AJ78" s="124">
        <f>AH79</f>
        <v>0</v>
      </c>
      <c r="AK78" s="113">
        <f>MAX($AL$10:$AL$97) - AL78</f>
        <v>24</v>
      </c>
      <c r="AL78" s="124">
        <f>$S78+$AB78+$AG78+$AJ78</f>
        <v>20</v>
      </c>
    </row>
    <row r="79" spans="1:38" s="27" customFormat="1" hidden="1" x14ac:dyDescent="0.2">
      <c r="A79" s="119" t="e">
        <f>RANK(AL79,$AL$10:$AL$97,)</f>
        <v>#N/A</v>
      </c>
      <c r="B79" s="100"/>
      <c r="C79" s="128">
        <f>(IF($C78&lt;&gt;"",($C$6*$O$104)+IF($C$6=4,($O$102)+IF($C78=$C$6+$D$6,$O$103,0),0),0)+IF($D78&lt;&gt;"",($D$6*$O$104)+IF($D$6=4,($O$102)+IF($D78=$C$6+$D$6,$O$103,0),0),0))</f>
        <v>0</v>
      </c>
      <c r="D79" s="129"/>
      <c r="E79" s="127">
        <f>(IF($E78&lt;&gt;"",($E$6*$O$104)+IF($E$6=4,($O$102)+IF($E78=$E$6+$F$6,$O$103,0),0),0)+IF($F78&lt;&gt;"",($F$6*$O$104)+IF($F$6=4,($O$102)+IF($F78=$E$6+$F$6,$O$103,0),0),0))</f>
        <v>9</v>
      </c>
      <c r="F79" s="129"/>
      <c r="G79" s="127">
        <f>(IF($G78&lt;&gt;"",($G$6*$O$104)+IF($G$6=4,($O$102)+IF($G78=$G$6+$H$6,$O$103,0),0),0)+IF($H78&lt;&gt;"",($H$6*$O$104)+IF($H$6=4,($O$102)+IF($H78=$G$6+$H$6,$O$103,0),0),0))</f>
        <v>3</v>
      </c>
      <c r="H79" s="129"/>
      <c r="I79" s="130">
        <f>(IF($I78&lt;&gt;"",($I$6*$O$104)+IF($I$6=4,($O$102)+IF($I78=$I$6+$J$6,$O$103,0),0),0)+IF($J78&lt;&gt;"",($J$6*$O$104)+IF($J$6=4,($O$102)+IF($J78=$I$6+$J$6,$O$103,0),0),0))</f>
        <v>0</v>
      </c>
      <c r="J79" s="131"/>
      <c r="K79" s="132">
        <f>(IF($K78&lt;&gt;"",($K$6*$O$104)+IF($K$6=4,($O$102)+IF($K78=$K$6+$L$6,$O$103,0),0),0)+IF($L78&lt;&gt;"",($L$6*$O$104)+IF($L$6=4,($O$102)+IF($L78=$K$6+$L$6,$O$103,0),0),0))</f>
        <v>1</v>
      </c>
      <c r="L79" s="129"/>
      <c r="M79" s="127">
        <f>(IF($M78&lt;&gt;"",($M$6*$O$104)+IF($M$6=4,($O$102)+IF($M78=$M$6+$N$6,$O$103,0),0),0)+IF($N78&lt;&gt;"",($N$6*$O$104)+IF($N$6=4,($O$102)+IF($N78=$M$6+$N$6,$O$103,0),0),0))</f>
        <v>2</v>
      </c>
      <c r="N79" s="129"/>
      <c r="O79" s="130">
        <f>(IF($O78&lt;&gt;"",($O$6*$O$104)+IF($O$6=4,($O$102)+IF($O78=$O$6+$P$6,$O$103,0),0),0)+IF($P78&lt;&gt;"",($P$6*$O$104)+IF($P$6=4,($O$102)+IF($P78=$O$6+$P$6,$O$103,0),0),0))</f>
        <v>2</v>
      </c>
      <c r="P79" s="129"/>
      <c r="Q79" s="130">
        <f>(IF($Q78&lt;&gt;"",($Q$6*$O$104)+IF($Q$6=4,($O$102)+IF($Q78=$Q$6+$R$6,$O$103,0),0),0)+IF($R78&lt;&gt;"",($R$6*$O$104)+IF($R$6=4,($O$102)+IF($R78=$Q$6+$R$6,$O$103,0),0),0))</f>
        <v>3</v>
      </c>
      <c r="R79" s="133"/>
      <c r="S79" s="123"/>
      <c r="T79" s="59"/>
      <c r="U79" s="60"/>
      <c r="V79" s="61"/>
      <c r="W79" s="62"/>
      <c r="X79" s="63"/>
      <c r="Y79" s="60"/>
      <c r="Z79" s="61"/>
      <c r="AA79" s="64"/>
      <c r="AB79" s="123"/>
      <c r="AC79" s="140"/>
      <c r="AD79" s="137"/>
      <c r="AE79" s="138"/>
      <c r="AF79" s="140"/>
      <c r="AG79" s="123"/>
      <c r="AH79" s="134"/>
      <c r="AI79" s="139"/>
      <c r="AJ79" s="123"/>
      <c r="AK79" s="112"/>
      <c r="AL79" s="123"/>
    </row>
    <row r="80" spans="1:38" s="27" customFormat="1" hidden="1" x14ac:dyDescent="0.2">
      <c r="A80" s="101"/>
      <c r="B80" s="126" t="s">
        <v>52</v>
      </c>
      <c r="C80" s="120">
        <f>IF(ISBLANK(C78),
0,
IF(C$6= 4, 1, 0))</f>
        <v>0</v>
      </c>
      <c r="D80" s="120">
        <f>IF(ISBLANK(D78),
0,
IF(D$6 = 4, 1, 0))</f>
        <v>0</v>
      </c>
      <c r="E80" s="120">
        <f>IF(ISBLANK(E78),
0,
IF(E$6= 4, 1, 0))</f>
        <v>1</v>
      </c>
      <c r="F80" s="120">
        <f>IF(ISBLANK(F78),
0,
IF(F$6 = 4, 1, 0))</f>
        <v>0</v>
      </c>
      <c r="G80" s="120">
        <f>IF(ISBLANK(G78),
0,
IF(G$6= 4, 1, 0))</f>
        <v>0</v>
      </c>
      <c r="H80" s="120">
        <f>IF(ISBLANK(H78),
0,
IF(H$6 = 4, 1, 0))</f>
        <v>0</v>
      </c>
      <c r="I80" s="120">
        <f>IF(ISBLANK(I78),
0,
IF(I$6= 4, 1, 0))</f>
        <v>0</v>
      </c>
      <c r="J80" s="120">
        <f>IF(ISBLANK(J78),
0,
IF(J$6 = 4, 1, 0))</f>
        <v>0</v>
      </c>
      <c r="K80" s="120">
        <f>IF(ISBLANK(K78),
0,
IF(K$6= 4, 1, 0))</f>
        <v>0</v>
      </c>
      <c r="L80" s="120">
        <f>IF(ISBLANK(L78),
0,
IF(L$6 = 4, 1, 0))</f>
        <v>0</v>
      </c>
      <c r="M80" s="120">
        <f>IF(ISBLANK(M78),
0,
IF(M$6= 4, 1, 0))</f>
        <v>0</v>
      </c>
      <c r="N80" s="120">
        <f>IF(ISBLANK(N78),
0,
IF(N$6 = 4, 1, 0))</f>
        <v>0</v>
      </c>
      <c r="O80" s="120">
        <f>IF(ISBLANK(O78),
0,
IF(O$6= 4, 1, 0))</f>
        <v>0</v>
      </c>
      <c r="P80" s="120">
        <f>IF(ISBLANK(P78),
0,
IF(P$6 = 4, 1, 0))</f>
        <v>0</v>
      </c>
      <c r="Q80" s="120">
        <f>IF(ISBLANK(Q78),
0,
IF(Q$6= 4, 1, 0))</f>
        <v>0</v>
      </c>
      <c r="R80" s="120">
        <f>IF(ISBLANK(R78),
0,
IF(R$6 = 4, 1, 0))</f>
        <v>0</v>
      </c>
      <c r="S80" s="142"/>
      <c r="T80" s="77"/>
      <c r="U80" s="77"/>
      <c r="V80" s="77"/>
      <c r="W80" s="77"/>
      <c r="X80" s="77"/>
      <c r="Y80" s="77"/>
      <c r="Z80" s="77"/>
      <c r="AA80" s="77"/>
      <c r="AB80" s="142"/>
      <c r="AC80" s="120"/>
      <c r="AD80" s="120"/>
      <c r="AE80" s="120"/>
      <c r="AF80" s="120"/>
      <c r="AG80" s="142"/>
      <c r="AH80" s="120"/>
      <c r="AI80" s="120"/>
      <c r="AJ80" s="142"/>
      <c r="AK80" s="143">
        <f>SUM(C80:AI80)</f>
        <v>1</v>
      </c>
      <c r="AL80" s="125"/>
    </row>
    <row r="81" spans="1:38" s="27" customFormat="1" hidden="1" x14ac:dyDescent="0.2">
      <c r="A81" s="101"/>
      <c r="B81" s="126" t="s">
        <v>53</v>
      </c>
      <c r="C81" s="120">
        <f>IF(C80 = 0,
0,
IF(C78 = (C$6+D$6),1,0))</f>
        <v>0</v>
      </c>
      <c r="D81" s="120">
        <f>IF(D80 = 0,
0,
IF(D78 = (C$6+D$6),1,0))</f>
        <v>0</v>
      </c>
      <c r="E81" s="120">
        <f>IF(E80 = 0,
0,
IF(E78 = (E$6+F$6),1,0))</f>
        <v>0</v>
      </c>
      <c r="F81" s="120">
        <f>IF(F80 = 0,
0,
IF(F78 = (E$6+F$6),1,0))</f>
        <v>0</v>
      </c>
      <c r="G81" s="120">
        <f>IF(G80 = 0,
0,
IF(G78 = (G$6+H$6),1,0))</f>
        <v>0</v>
      </c>
      <c r="H81" s="120">
        <f>IF(H80 = 0,
0,
IF(H78 = (G$6+H$6),1,0))</f>
        <v>0</v>
      </c>
      <c r="I81" s="120">
        <f>IF(I80 = 0,
0,
IF(I78 = (I$6+J$6),1,0))</f>
        <v>0</v>
      </c>
      <c r="J81" s="120">
        <f>IF(J80 = 0,
0,
IF(J78 = (I$6+J$6),1,0))</f>
        <v>0</v>
      </c>
      <c r="K81" s="120">
        <f>IF(K80 = 0,
0,
IF(K78 = (K$6+L$6),1,0))</f>
        <v>0</v>
      </c>
      <c r="L81" s="120">
        <f>IF(L80 = 0,
0,
IF(L78 = (K$6+L$6),1,0))</f>
        <v>0</v>
      </c>
      <c r="M81" s="120">
        <f>IF(M80 = 0,
0,
IF(M78 = (M$6+N$6),1,0))</f>
        <v>0</v>
      </c>
      <c r="N81" s="120">
        <f>IF(N80 = 0,
0,
IF(N78 = (M$6+N$6),1,0))</f>
        <v>0</v>
      </c>
      <c r="O81" s="120">
        <f>IF(O80 = 0,
0,
IF(O78 = (O$6+P$6),1,0))</f>
        <v>0</v>
      </c>
      <c r="P81" s="120">
        <f>IF(P80 = 0,
0,
IF(P78 = (O$6+P$6),1,0))</f>
        <v>0</v>
      </c>
      <c r="Q81" s="120">
        <f>IF(Q80 = 0,
0,
IF(Q78 = (Q$6+R$6),1,0))</f>
        <v>0</v>
      </c>
      <c r="R81" s="120">
        <f>IF(R80 = 0,
0,
IF(R78 = (Q$6+R$6),1,0))</f>
        <v>0</v>
      </c>
      <c r="S81" s="142"/>
      <c r="T81" s="77"/>
      <c r="U81" s="77"/>
      <c r="V81" s="77"/>
      <c r="W81" s="77"/>
      <c r="X81" s="77"/>
      <c r="Y81" s="77"/>
      <c r="Z81" s="77"/>
      <c r="AA81" s="77"/>
      <c r="AB81" s="142"/>
      <c r="AC81" s="120"/>
      <c r="AD81" s="120"/>
      <c r="AE81" s="120"/>
      <c r="AF81" s="120"/>
      <c r="AG81" s="142"/>
      <c r="AH81" s="120"/>
      <c r="AI81" s="120"/>
      <c r="AJ81" s="142"/>
      <c r="AK81" s="143">
        <f>SUM(C81:AI81)</f>
        <v>0</v>
      </c>
      <c r="AL81" s="125"/>
    </row>
    <row r="82" spans="1:38" s="27" customFormat="1" ht="12.75" customHeight="1" x14ac:dyDescent="0.2">
      <c r="A82" s="177">
        <f>RANK(AL82,$AL$10:$AL$97,)</f>
        <v>15</v>
      </c>
      <c r="B82" s="201" t="s">
        <v>75</v>
      </c>
      <c r="C82" s="189">
        <v>5</v>
      </c>
      <c r="D82" s="190"/>
      <c r="E82" s="191">
        <v>6</v>
      </c>
      <c r="F82" s="190"/>
      <c r="G82" s="192">
        <v>6</v>
      </c>
      <c r="H82" s="193"/>
      <c r="I82" s="191"/>
      <c r="J82" s="193">
        <v>6</v>
      </c>
      <c r="K82" s="194">
        <v>6</v>
      </c>
      <c r="L82" s="193"/>
      <c r="M82" s="191">
        <v>7</v>
      </c>
      <c r="N82" s="190"/>
      <c r="O82" s="191">
        <v>6</v>
      </c>
      <c r="P82" s="190"/>
      <c r="Q82" s="192"/>
      <c r="R82" s="195">
        <v>7</v>
      </c>
      <c r="S82" s="196">
        <f>SUM(C83:R83)</f>
        <v>20</v>
      </c>
      <c r="T82" s="189">
        <v>7</v>
      </c>
      <c r="U82" s="193"/>
      <c r="V82" s="191">
        <v>7</v>
      </c>
      <c r="W82" s="193"/>
      <c r="X82" s="194">
        <v>7</v>
      </c>
      <c r="Y82" s="190"/>
      <c r="Z82" s="192">
        <v>7</v>
      </c>
      <c r="AA82" s="193"/>
      <c r="AB82" s="196">
        <f>SUM(T83:AA83)</f>
        <v>0</v>
      </c>
      <c r="AC82" s="192"/>
      <c r="AD82" s="193"/>
      <c r="AE82" s="194"/>
      <c r="AF82" s="193"/>
      <c r="AG82" s="196">
        <f>SUM(AC83:AF83)</f>
        <v>0</v>
      </c>
      <c r="AH82" s="200"/>
      <c r="AI82" s="197"/>
      <c r="AJ82" s="196">
        <f>AH83</f>
        <v>0</v>
      </c>
      <c r="AK82" s="198">
        <f>MAX($AL$10:$AL$97) - AL82</f>
        <v>24</v>
      </c>
      <c r="AL82" s="196">
        <f>$S82+$AB82+$AG82+$AJ82</f>
        <v>20</v>
      </c>
    </row>
    <row r="83" spans="1:38" s="27" customFormat="1" hidden="1" x14ac:dyDescent="0.2">
      <c r="A83" s="119" t="e">
        <f>RANK(AL83,$AL$10:$AL$97,)</f>
        <v>#N/A</v>
      </c>
      <c r="B83" s="100"/>
      <c r="C83" s="128">
        <f>(IF($C82&lt;&gt;"",($C$6*$O$104)+IF($C$6=4,($O$102)+IF($C82=$C$6+$D$6,$O$103,0),0),0)+IF($D82&lt;&gt;"",($D$6*$O$104)+IF($D$6=4,($O$102)+IF($D82=$C$6+$D$6,$O$103,0),0),0))</f>
        <v>0</v>
      </c>
      <c r="D83" s="129"/>
      <c r="E83" s="127">
        <f>(IF($E82&lt;&gt;"",($E$6*$O$104)+IF($E$6=4,($O$102)+IF($E82=$E$6+$F$6,$O$103,0),0),0)+IF($F82&lt;&gt;"",($F$6*$O$104)+IF($F$6=4,($O$102)+IF($F82=$E$6+$F$6,$O$103,0),0),0))</f>
        <v>9</v>
      </c>
      <c r="F83" s="129"/>
      <c r="G83" s="127">
        <f>(IF($G82&lt;&gt;"",($G$6*$O$104)+IF($G$6=4,($O$102)+IF($G82=$G$6+$H$6,$O$103,0),0),0)+IF($H82&lt;&gt;"",($H$6*$O$104)+IF($H$6=4,($O$102)+IF($H82=$G$6+$H$6,$O$103,0),0),0))</f>
        <v>3</v>
      </c>
      <c r="H83" s="129"/>
      <c r="I83" s="130">
        <f>(IF($I82&lt;&gt;"",($I$6*$O$104)+IF($I$6=4,($O$102)+IF($I82=$I$6+$J$6,$O$103,0),0),0)+IF($J82&lt;&gt;"",($J$6*$O$104)+IF($J$6=4,($O$102)+IF($J82=$I$6+$J$6,$O$103,0),0),0))</f>
        <v>0</v>
      </c>
      <c r="J83" s="131"/>
      <c r="K83" s="132">
        <f>(IF($K82&lt;&gt;"",($K$6*$O$104)+IF($K$6=4,($O$102)+IF($K82=$K$6+$L$6,$O$103,0),0),0)+IF($L82&lt;&gt;"",($L$6*$O$104)+IF($L$6=4,($O$102)+IF($L82=$K$6+$L$6,$O$103,0),0),0))</f>
        <v>1</v>
      </c>
      <c r="L83" s="129"/>
      <c r="M83" s="127">
        <f>(IF($M82&lt;&gt;"",($M$6*$O$104)+IF($M$6=4,($O$102)+IF($M82=$M$6+$N$6,$O$103,0),0),0)+IF($N82&lt;&gt;"",($N$6*$O$104)+IF($N$6=4,($O$102)+IF($N82=$M$6+$N$6,$O$103,0),0),0))</f>
        <v>2</v>
      </c>
      <c r="N83" s="129"/>
      <c r="O83" s="130">
        <f>(IF($O82&lt;&gt;"",($O$6*$O$104)+IF($O$6=4,($O$102)+IF($O82=$O$6+$P$6,$O$103,0),0),0)+IF($P82&lt;&gt;"",($P$6*$O$104)+IF($P$6=4,($O$102)+IF($P82=$O$6+$P$6,$O$103,0),0),0))</f>
        <v>2</v>
      </c>
      <c r="P83" s="129"/>
      <c r="Q83" s="130">
        <f>(IF($Q82&lt;&gt;"",($Q$6*$O$104)+IF($Q$6=4,($O$102)+IF($Q82=$Q$6+$R$6,$O$103,0),0),0)+IF($R82&lt;&gt;"",($R$6*$O$104)+IF($R$6=4,($O$102)+IF($R82=$Q$6+$R$6,$O$103,0),0),0))</f>
        <v>3</v>
      </c>
      <c r="R83" s="133"/>
      <c r="S83" s="123"/>
      <c r="T83" s="59"/>
      <c r="U83" s="60"/>
      <c r="V83" s="61"/>
      <c r="W83" s="62"/>
      <c r="X83" s="63"/>
      <c r="Y83" s="60"/>
      <c r="Z83" s="61"/>
      <c r="AA83" s="64"/>
      <c r="AB83" s="123"/>
      <c r="AC83" s="140"/>
      <c r="AD83" s="137"/>
      <c r="AE83" s="138"/>
      <c r="AF83" s="140"/>
      <c r="AG83" s="123"/>
      <c r="AH83" s="134"/>
      <c r="AI83" s="139"/>
      <c r="AJ83" s="123"/>
      <c r="AK83" s="112"/>
      <c r="AL83" s="123"/>
    </row>
    <row r="84" spans="1:38" s="27" customFormat="1" hidden="1" x14ac:dyDescent="0.2">
      <c r="A84" s="101"/>
      <c r="B84" s="126" t="s">
        <v>52</v>
      </c>
      <c r="C84" s="120">
        <f>IF(ISBLANK(C82),
0,
IF(C$6= 4, 1, 0))</f>
        <v>0</v>
      </c>
      <c r="D84" s="120">
        <f>IF(ISBLANK(D82),
0,
IF(D$6 = 4, 1, 0))</f>
        <v>0</v>
      </c>
      <c r="E84" s="120">
        <f>IF(ISBLANK(E82),
0,
IF(E$6= 4, 1, 0))</f>
        <v>1</v>
      </c>
      <c r="F84" s="120">
        <f>IF(ISBLANK(F82),
0,
IF(F$6 = 4, 1, 0))</f>
        <v>0</v>
      </c>
      <c r="G84" s="120">
        <f>IF(ISBLANK(G82),
0,
IF(G$6= 4, 1, 0))</f>
        <v>0</v>
      </c>
      <c r="H84" s="120">
        <f>IF(ISBLANK(H82),
0,
IF(H$6 = 4, 1, 0))</f>
        <v>0</v>
      </c>
      <c r="I84" s="120">
        <f>IF(ISBLANK(I82),
0,
IF(I$6= 4, 1, 0))</f>
        <v>0</v>
      </c>
      <c r="J84" s="120">
        <f>IF(ISBLANK(J82),
0,
IF(J$6 = 4, 1, 0))</f>
        <v>0</v>
      </c>
      <c r="K84" s="120">
        <f>IF(ISBLANK(K82),
0,
IF(K$6= 4, 1, 0))</f>
        <v>0</v>
      </c>
      <c r="L84" s="120">
        <f>IF(ISBLANK(L82),
0,
IF(L$6 = 4, 1, 0))</f>
        <v>0</v>
      </c>
      <c r="M84" s="120">
        <f>IF(ISBLANK(M82),
0,
IF(M$6= 4, 1, 0))</f>
        <v>0</v>
      </c>
      <c r="N84" s="120">
        <f>IF(ISBLANK(N82),
0,
IF(N$6 = 4, 1, 0))</f>
        <v>0</v>
      </c>
      <c r="O84" s="120">
        <f>IF(ISBLANK(O82),
0,
IF(O$6= 4, 1, 0))</f>
        <v>0</v>
      </c>
      <c r="P84" s="120">
        <f>IF(ISBLANK(P82),
0,
IF(P$6 = 4, 1, 0))</f>
        <v>0</v>
      </c>
      <c r="Q84" s="120">
        <f>IF(ISBLANK(Q82),
0,
IF(Q$6= 4, 1, 0))</f>
        <v>0</v>
      </c>
      <c r="R84" s="120">
        <f>IF(ISBLANK(R82),
0,
IF(R$6 = 4, 1, 0))</f>
        <v>0</v>
      </c>
      <c r="S84" s="142"/>
      <c r="T84" s="77"/>
      <c r="U84" s="77"/>
      <c r="V84" s="77"/>
      <c r="W84" s="77"/>
      <c r="X84" s="77"/>
      <c r="Y84" s="77"/>
      <c r="Z84" s="77"/>
      <c r="AA84" s="77"/>
      <c r="AB84" s="142"/>
      <c r="AC84" s="120"/>
      <c r="AD84" s="120"/>
      <c r="AE84" s="120"/>
      <c r="AF84" s="120"/>
      <c r="AG84" s="142"/>
      <c r="AH84" s="120"/>
      <c r="AI84" s="120"/>
      <c r="AJ84" s="142"/>
      <c r="AK84" s="143">
        <f>SUM(C84:AI84)</f>
        <v>1</v>
      </c>
      <c r="AL84" s="125"/>
    </row>
    <row r="85" spans="1:38" s="27" customFormat="1" hidden="1" x14ac:dyDescent="0.2">
      <c r="A85" s="101"/>
      <c r="B85" s="126" t="s">
        <v>53</v>
      </c>
      <c r="C85" s="120">
        <f>IF(C84 = 0,
0,
IF(C82 = (C$6+D$6),1,0))</f>
        <v>0</v>
      </c>
      <c r="D85" s="120">
        <f>IF(D84 = 0,
0,
IF(D82 = (C$6+D$6),1,0))</f>
        <v>0</v>
      </c>
      <c r="E85" s="120">
        <f>IF(E84 = 0,
0,
IF(E82 = (E$6+F$6),1,0))</f>
        <v>0</v>
      </c>
      <c r="F85" s="120">
        <f>IF(F84 = 0,
0,
IF(F82 = (E$6+F$6),1,0))</f>
        <v>0</v>
      </c>
      <c r="G85" s="120">
        <f>IF(G84 = 0,
0,
IF(G82 = (G$6+H$6),1,0))</f>
        <v>0</v>
      </c>
      <c r="H85" s="120">
        <f>IF(H84 = 0,
0,
IF(H82 = (G$6+H$6),1,0))</f>
        <v>0</v>
      </c>
      <c r="I85" s="120">
        <f>IF(I84 = 0,
0,
IF(I82 = (I$6+J$6),1,0))</f>
        <v>0</v>
      </c>
      <c r="J85" s="120">
        <f>IF(J84 = 0,
0,
IF(J82 = (I$6+J$6),1,0))</f>
        <v>0</v>
      </c>
      <c r="K85" s="120">
        <f>IF(K84 = 0,
0,
IF(K82 = (K$6+L$6),1,0))</f>
        <v>0</v>
      </c>
      <c r="L85" s="120">
        <f>IF(L84 = 0,
0,
IF(L82 = (K$6+L$6),1,0))</f>
        <v>0</v>
      </c>
      <c r="M85" s="120">
        <f>IF(M84 = 0,
0,
IF(M82 = (M$6+N$6),1,0))</f>
        <v>0</v>
      </c>
      <c r="N85" s="120">
        <f>IF(N84 = 0,
0,
IF(N82 = (M$6+N$6),1,0))</f>
        <v>0</v>
      </c>
      <c r="O85" s="120">
        <f>IF(O84 = 0,
0,
IF(O82 = (O$6+P$6),1,0))</f>
        <v>0</v>
      </c>
      <c r="P85" s="120">
        <f>IF(P84 = 0,
0,
IF(P82 = (O$6+P$6),1,0))</f>
        <v>0</v>
      </c>
      <c r="Q85" s="120">
        <f>IF(Q84 = 0,
0,
IF(Q82 = (Q$6+R$6),1,0))</f>
        <v>0</v>
      </c>
      <c r="R85" s="120">
        <f>IF(R84 = 0,
0,
IF(R82 = (Q$6+R$6),1,0))</f>
        <v>0</v>
      </c>
      <c r="S85" s="142"/>
      <c r="T85" s="77"/>
      <c r="U85" s="77"/>
      <c r="V85" s="77"/>
      <c r="W85" s="77"/>
      <c r="X85" s="77"/>
      <c r="Y85" s="77"/>
      <c r="Z85" s="77"/>
      <c r="AA85" s="77"/>
      <c r="AB85" s="142"/>
      <c r="AC85" s="120"/>
      <c r="AD85" s="120"/>
      <c r="AE85" s="120"/>
      <c r="AF85" s="120"/>
      <c r="AG85" s="142"/>
      <c r="AH85" s="120"/>
      <c r="AI85" s="120"/>
      <c r="AJ85" s="142"/>
      <c r="AK85" s="143">
        <f>SUM(C85:AI85)</f>
        <v>0</v>
      </c>
      <c r="AL85" s="125"/>
    </row>
    <row r="86" spans="1:38" s="27" customFormat="1" ht="12.75" customHeight="1" x14ac:dyDescent="0.2">
      <c r="A86" s="119">
        <f>RANK(AL86,$AL$10:$AL$97,)</f>
        <v>20</v>
      </c>
      <c r="B86" s="86" t="s">
        <v>66</v>
      </c>
      <c r="C86" s="46">
        <v>5</v>
      </c>
      <c r="D86" s="45"/>
      <c r="E86" s="44"/>
      <c r="F86" s="45">
        <v>7</v>
      </c>
      <c r="G86" s="48">
        <v>4</v>
      </c>
      <c r="H86" s="47"/>
      <c r="I86" s="44"/>
      <c r="J86" s="47">
        <v>7</v>
      </c>
      <c r="K86" s="49">
        <v>6</v>
      </c>
      <c r="L86" s="47"/>
      <c r="M86" s="44">
        <v>6</v>
      </c>
      <c r="N86" s="45"/>
      <c r="O86" s="44">
        <v>7</v>
      </c>
      <c r="P86" s="45"/>
      <c r="Q86" s="48"/>
      <c r="R86" s="50">
        <v>6</v>
      </c>
      <c r="S86" s="124">
        <f>SUM(C87:R87)</f>
        <v>14</v>
      </c>
      <c r="T86" s="46"/>
      <c r="U86" s="47">
        <v>7</v>
      </c>
      <c r="V86" s="44">
        <v>5</v>
      </c>
      <c r="W86" s="47"/>
      <c r="X86" s="49">
        <v>6</v>
      </c>
      <c r="Y86" s="45"/>
      <c r="Z86" s="48">
        <v>6</v>
      </c>
      <c r="AA86" s="47"/>
      <c r="AB86" s="124">
        <f>SUM(T87:AA87)</f>
        <v>0</v>
      </c>
      <c r="AC86" s="48"/>
      <c r="AD86" s="47"/>
      <c r="AE86" s="49"/>
      <c r="AF86" s="47"/>
      <c r="AG86" s="124">
        <f>SUM(AC87:AF87)</f>
        <v>0</v>
      </c>
      <c r="AH86" s="102"/>
      <c r="AI86" s="58"/>
      <c r="AJ86" s="124">
        <f>AH87</f>
        <v>0</v>
      </c>
      <c r="AK86" s="113">
        <f>MAX($AL$10:$AL$97) - AL86</f>
        <v>30</v>
      </c>
      <c r="AL86" s="124">
        <f>$S86+$AB86+$AG86+$AJ86</f>
        <v>14</v>
      </c>
    </row>
    <row r="87" spans="1:38" s="27" customFormat="1" hidden="1" x14ac:dyDescent="0.2">
      <c r="A87" s="119" t="e">
        <f>RANK(AL87,$AL$10:$AL$97,)</f>
        <v>#N/A</v>
      </c>
      <c r="B87" s="100"/>
      <c r="C87" s="128">
        <f>(IF($C86&lt;&gt;"",($C$6*$O$104)+IF($C$6=4,($O$102)+IF($C86=$C$6+$D$6,$O$103,0),0),0)+IF($D86&lt;&gt;"",($D$6*$O$104)+IF($D$6=4,($O$102)+IF($D86=$C$6+$D$6,$O$103,0),0),0))</f>
        <v>0</v>
      </c>
      <c r="D87" s="129"/>
      <c r="E87" s="127">
        <f>(IF($E86&lt;&gt;"",($E$6*$O$104)+IF($E$6=4,($O$102)+IF($E86=$E$6+$F$6,$O$103,0),0),0)+IF($F86&lt;&gt;"",($F$6*$O$104)+IF($F$6=4,($O$102)+IF($F86=$E$6+$F$6,$O$103,0),0),0))</f>
        <v>3</v>
      </c>
      <c r="F87" s="129"/>
      <c r="G87" s="127">
        <f>(IF($G86&lt;&gt;"",($G$6*$O$104)+IF($G$6=4,($O$102)+IF($G86=$G$6+$H$6,$O$103,0),0),0)+IF($H86&lt;&gt;"",($H$6*$O$104)+IF($H$6=4,($O$102)+IF($H86=$G$6+$H$6,$O$103,0),0),0))</f>
        <v>3</v>
      </c>
      <c r="H87" s="129"/>
      <c r="I87" s="130">
        <f>(IF($I86&lt;&gt;"",($I$6*$O$104)+IF($I$6=4,($O$102)+IF($I86=$I$6+$J$6,$O$103,0),0),0)+IF($J86&lt;&gt;"",($J$6*$O$104)+IF($J$6=4,($O$102)+IF($J86=$I$6+$J$6,$O$103,0),0),0))</f>
        <v>0</v>
      </c>
      <c r="J87" s="131"/>
      <c r="K87" s="132">
        <f>(IF($K86&lt;&gt;"",($K$6*$O$104)+IF($K$6=4,($O$102)+IF($K86=$K$6+$L$6,$O$103,0),0),0)+IF($L86&lt;&gt;"",($L$6*$O$104)+IF($L$6=4,($O$102)+IF($L86=$K$6+$L$6,$O$103,0),0),0))</f>
        <v>1</v>
      </c>
      <c r="L87" s="129"/>
      <c r="M87" s="127">
        <f>(IF($M86&lt;&gt;"",($M$6*$O$104)+IF($M$6=4,($O$102)+IF($M86=$M$6+$N$6,$O$103,0),0),0)+IF($N86&lt;&gt;"",($N$6*$O$104)+IF($N$6=4,($O$102)+IF($N86=$M$6+$N$6,$O$103,0),0),0))</f>
        <v>2</v>
      </c>
      <c r="N87" s="129"/>
      <c r="O87" s="130">
        <f>(IF($O86&lt;&gt;"",($O$6*$O$104)+IF($O$6=4,($O$102)+IF($O86=$O$6+$P$6,$O$103,0),0),0)+IF($P86&lt;&gt;"",($P$6*$O$104)+IF($P$6=4,($O$102)+IF($P86=$O$6+$P$6,$O$103,0),0),0))</f>
        <v>2</v>
      </c>
      <c r="P87" s="129"/>
      <c r="Q87" s="130">
        <f>(IF($Q86&lt;&gt;"",($Q$6*$O$104)+IF($Q$6=4,($O$102)+IF($Q86=$Q$6+$R$6,$O$103,0),0),0)+IF($R86&lt;&gt;"",($R$6*$O$104)+IF($R$6=4,($O$102)+IF($R86=$Q$6+$R$6,$O$103,0),0),0))</f>
        <v>3</v>
      </c>
      <c r="R87" s="133"/>
      <c r="S87" s="123"/>
      <c r="T87" s="59"/>
      <c r="U87" s="60"/>
      <c r="V87" s="61"/>
      <c r="W87" s="62"/>
      <c r="X87" s="63"/>
      <c r="Y87" s="60"/>
      <c r="Z87" s="61"/>
      <c r="AA87" s="64"/>
      <c r="AB87" s="123"/>
      <c r="AC87" s="140"/>
      <c r="AD87" s="137"/>
      <c r="AE87" s="138"/>
      <c r="AF87" s="140"/>
      <c r="AG87" s="123"/>
      <c r="AH87" s="134"/>
      <c r="AI87" s="139"/>
      <c r="AJ87" s="123"/>
      <c r="AK87" s="112"/>
      <c r="AL87" s="123"/>
    </row>
    <row r="88" spans="1:38" s="27" customFormat="1" hidden="1" x14ac:dyDescent="0.2">
      <c r="A88" s="101"/>
      <c r="B88" s="126" t="s">
        <v>52</v>
      </c>
      <c r="C88" s="120">
        <f>IF(ISBLANK(C86),
0,
IF(C$6= 4, 1, 0))</f>
        <v>0</v>
      </c>
      <c r="D88" s="120">
        <f>IF(ISBLANK(D86),
0,
IF(D$6 = 4, 1, 0))</f>
        <v>0</v>
      </c>
      <c r="E88" s="120">
        <f>IF(ISBLANK(E86),
0,
IF(E$6= 4, 1, 0))</f>
        <v>0</v>
      </c>
      <c r="F88" s="120">
        <f>IF(ISBLANK(F86),
0,
IF(F$6 = 4, 1, 0))</f>
        <v>0</v>
      </c>
      <c r="G88" s="120">
        <f>IF(ISBLANK(G86),
0,
IF(G$6= 4, 1, 0))</f>
        <v>0</v>
      </c>
      <c r="H88" s="120">
        <f>IF(ISBLANK(H86),
0,
IF(H$6 = 4, 1, 0))</f>
        <v>0</v>
      </c>
      <c r="I88" s="120">
        <f>IF(ISBLANK(I86),
0,
IF(I$6= 4, 1, 0))</f>
        <v>0</v>
      </c>
      <c r="J88" s="120">
        <f>IF(ISBLANK(J86),
0,
IF(J$6 = 4, 1, 0))</f>
        <v>0</v>
      </c>
      <c r="K88" s="120">
        <f>IF(ISBLANK(K86),
0,
IF(K$6= 4, 1, 0))</f>
        <v>0</v>
      </c>
      <c r="L88" s="120">
        <f>IF(ISBLANK(L86),
0,
IF(L$6 = 4, 1, 0))</f>
        <v>0</v>
      </c>
      <c r="M88" s="120">
        <f>IF(ISBLANK(M86),
0,
IF(M$6= 4, 1, 0))</f>
        <v>0</v>
      </c>
      <c r="N88" s="120">
        <f>IF(ISBLANK(N86),
0,
IF(N$6 = 4, 1, 0))</f>
        <v>0</v>
      </c>
      <c r="O88" s="120">
        <f>IF(ISBLANK(O86),
0,
IF(O$6= 4, 1, 0))</f>
        <v>0</v>
      </c>
      <c r="P88" s="120">
        <f>IF(ISBLANK(P86),
0,
IF(P$6 = 4, 1, 0))</f>
        <v>0</v>
      </c>
      <c r="Q88" s="120">
        <f>IF(ISBLANK(Q86),
0,
IF(Q$6= 4, 1, 0))</f>
        <v>0</v>
      </c>
      <c r="R88" s="120">
        <f>IF(ISBLANK(R86),
0,
IF(R$6 = 4, 1, 0))</f>
        <v>0</v>
      </c>
      <c r="S88" s="142"/>
      <c r="T88" s="77"/>
      <c r="U88" s="77"/>
      <c r="V88" s="77"/>
      <c r="W88" s="77"/>
      <c r="X88" s="77"/>
      <c r="Y88" s="77"/>
      <c r="Z88" s="77"/>
      <c r="AA88" s="77"/>
      <c r="AB88" s="142"/>
      <c r="AC88" s="120"/>
      <c r="AD88" s="120"/>
      <c r="AE88" s="120"/>
      <c r="AF88" s="120"/>
      <c r="AG88" s="142"/>
      <c r="AH88" s="120"/>
      <c r="AI88" s="120"/>
      <c r="AJ88" s="142"/>
      <c r="AK88" s="143">
        <f>SUM(C88:AI88)</f>
        <v>0</v>
      </c>
      <c r="AL88" s="125"/>
    </row>
    <row r="89" spans="1:38" s="27" customFormat="1" hidden="1" x14ac:dyDescent="0.2">
      <c r="A89" s="101"/>
      <c r="B89" s="126" t="s">
        <v>53</v>
      </c>
      <c r="C89" s="120">
        <f>IF(C88 = 0,
0,
IF(C86 = (C$6+D$6),1,0))</f>
        <v>0</v>
      </c>
      <c r="D89" s="120">
        <f>IF(D88 = 0,
0,
IF(D86 = (C$6+D$6),1,0))</f>
        <v>0</v>
      </c>
      <c r="E89" s="120">
        <f>IF(E88 = 0,
0,
IF(E86 = (E$6+F$6),1,0))</f>
        <v>0</v>
      </c>
      <c r="F89" s="120">
        <f>IF(F88 = 0,
0,
IF(F86 = (E$6+F$6),1,0))</f>
        <v>0</v>
      </c>
      <c r="G89" s="120">
        <f>IF(G88 = 0,
0,
IF(G86 = (G$6+H$6),1,0))</f>
        <v>0</v>
      </c>
      <c r="H89" s="120">
        <f>IF(H88 = 0,
0,
IF(H86 = (G$6+H$6),1,0))</f>
        <v>0</v>
      </c>
      <c r="I89" s="120">
        <f>IF(I88 = 0,
0,
IF(I86 = (I$6+J$6),1,0))</f>
        <v>0</v>
      </c>
      <c r="J89" s="120">
        <f>IF(J88 = 0,
0,
IF(J86 = (I$6+J$6),1,0))</f>
        <v>0</v>
      </c>
      <c r="K89" s="120">
        <f>IF(K88 = 0,
0,
IF(K86 = (K$6+L$6),1,0))</f>
        <v>0</v>
      </c>
      <c r="L89" s="120">
        <f>IF(L88 = 0,
0,
IF(L86 = (K$6+L$6),1,0))</f>
        <v>0</v>
      </c>
      <c r="M89" s="120">
        <f>IF(M88 = 0,
0,
IF(M86 = (M$6+N$6),1,0))</f>
        <v>0</v>
      </c>
      <c r="N89" s="120">
        <f>IF(N88 = 0,
0,
IF(N86 = (M$6+N$6),1,0))</f>
        <v>0</v>
      </c>
      <c r="O89" s="120">
        <f>IF(O88 = 0,
0,
IF(O86 = (O$6+P$6),1,0))</f>
        <v>0</v>
      </c>
      <c r="P89" s="120">
        <f>IF(P88 = 0,
0,
IF(P86 = (O$6+P$6),1,0))</f>
        <v>0</v>
      </c>
      <c r="Q89" s="120">
        <f>IF(Q88 = 0,
0,
IF(Q86 = (Q$6+R$6),1,0))</f>
        <v>0</v>
      </c>
      <c r="R89" s="120">
        <f>IF(R88 = 0,
0,
IF(R86 = (Q$6+R$6),1,0))</f>
        <v>0</v>
      </c>
      <c r="S89" s="142"/>
      <c r="T89" s="77"/>
      <c r="U89" s="77"/>
      <c r="V89" s="77"/>
      <c r="W89" s="77"/>
      <c r="X89" s="77"/>
      <c r="Y89" s="77"/>
      <c r="Z89" s="77"/>
      <c r="AA89" s="77"/>
      <c r="AB89" s="142"/>
      <c r="AC89" s="120"/>
      <c r="AD89" s="120"/>
      <c r="AE89" s="120"/>
      <c r="AF89" s="120"/>
      <c r="AG89" s="142"/>
      <c r="AH89" s="120"/>
      <c r="AI89" s="120"/>
      <c r="AJ89" s="142"/>
      <c r="AK89" s="143">
        <f>SUM(C89:AI89)</f>
        <v>0</v>
      </c>
      <c r="AL89" s="125"/>
    </row>
    <row r="90" spans="1:38" s="27" customFormat="1" ht="12.75" customHeight="1" x14ac:dyDescent="0.2">
      <c r="A90" s="177">
        <f>RANK(AL90,$AL$10:$AL$97,)</f>
        <v>20</v>
      </c>
      <c r="B90" s="201" t="s">
        <v>84</v>
      </c>
      <c r="C90" s="189">
        <v>6</v>
      </c>
      <c r="D90" s="190"/>
      <c r="E90" s="191"/>
      <c r="F90" s="190">
        <v>7</v>
      </c>
      <c r="G90" s="192">
        <v>7</v>
      </c>
      <c r="H90" s="193"/>
      <c r="I90" s="191"/>
      <c r="J90" s="193">
        <v>6</v>
      </c>
      <c r="K90" s="194">
        <v>6</v>
      </c>
      <c r="L90" s="193"/>
      <c r="M90" s="191">
        <v>7</v>
      </c>
      <c r="N90" s="190"/>
      <c r="O90" s="191">
        <v>5</v>
      </c>
      <c r="P90" s="190"/>
      <c r="Q90" s="192"/>
      <c r="R90" s="195">
        <v>6</v>
      </c>
      <c r="S90" s="196">
        <f>SUM(C91:R91)</f>
        <v>14</v>
      </c>
      <c r="T90" s="189"/>
      <c r="U90" s="193">
        <v>7</v>
      </c>
      <c r="V90" s="191">
        <v>6</v>
      </c>
      <c r="W90" s="193"/>
      <c r="X90" s="194"/>
      <c r="Y90" s="190">
        <v>6</v>
      </c>
      <c r="Z90" s="192">
        <v>6</v>
      </c>
      <c r="AA90" s="193"/>
      <c r="AB90" s="196">
        <f>SUM(T91:AA91)</f>
        <v>0</v>
      </c>
      <c r="AC90" s="192"/>
      <c r="AD90" s="193"/>
      <c r="AE90" s="194"/>
      <c r="AF90" s="193"/>
      <c r="AG90" s="196">
        <f>SUM(AC91:AF91)</f>
        <v>0</v>
      </c>
      <c r="AH90" s="200"/>
      <c r="AI90" s="197"/>
      <c r="AJ90" s="196">
        <f>AH91</f>
        <v>0</v>
      </c>
      <c r="AK90" s="198">
        <f>MAX($AL$10:$AL$97) - AL90</f>
        <v>30</v>
      </c>
      <c r="AL90" s="196">
        <f>$S90+$AB90+$AG90+$AJ90</f>
        <v>14</v>
      </c>
    </row>
    <row r="91" spans="1:38" s="27" customFormat="1" hidden="1" x14ac:dyDescent="0.2">
      <c r="A91" s="119" t="e">
        <f>RANK(AL91,$AL$10:$AL$97,)</f>
        <v>#N/A</v>
      </c>
      <c r="B91" s="100"/>
      <c r="C91" s="128">
        <f>(IF($C90&lt;&gt;"",($C$6*$O$104)+IF($C$6=4,($O$102)+IF($C90=$C$6+$D$6,$O$103,0),0),0)+IF($D90&lt;&gt;"",($D$6*$O$104)+IF($D$6=4,($O$102)+IF($D90=$C$6+$D$6,$O$103,0),0),0))</f>
        <v>0</v>
      </c>
      <c r="D91" s="129"/>
      <c r="E91" s="127">
        <f>(IF($E90&lt;&gt;"",($E$6*$O$104)+IF($E$6=4,($O$102)+IF($E90=$E$6+$F$6,$O$103,0),0),0)+IF($F90&lt;&gt;"",($F$6*$O$104)+IF($F$6=4,($O$102)+IF($F90=$E$6+$F$6,$O$103,0),0),0))</f>
        <v>3</v>
      </c>
      <c r="F91" s="129"/>
      <c r="G91" s="127">
        <f>(IF($G90&lt;&gt;"",($G$6*$O$104)+IF($G$6=4,($O$102)+IF($G90=$G$6+$H$6,$O$103,0),0),0)+IF($H90&lt;&gt;"",($H$6*$O$104)+IF($H$6=4,($O$102)+IF($H90=$G$6+$H$6,$O$103,0),0),0))</f>
        <v>3</v>
      </c>
      <c r="H91" s="129"/>
      <c r="I91" s="130">
        <f>(IF($I90&lt;&gt;"",($I$6*$O$104)+IF($I$6=4,($O$102)+IF($I90=$I$6+$J$6,$O$103,0),0),0)+IF($J90&lt;&gt;"",($J$6*$O$104)+IF($J$6=4,($O$102)+IF($J90=$I$6+$J$6,$O$103,0),0),0))</f>
        <v>0</v>
      </c>
      <c r="J91" s="131"/>
      <c r="K91" s="132">
        <f>(IF($K90&lt;&gt;"",($K$6*$O$104)+IF($K$6=4,($O$102)+IF($K90=$K$6+$L$6,$O$103,0),0),0)+IF($L90&lt;&gt;"",($L$6*$O$104)+IF($L$6=4,($O$102)+IF($L90=$K$6+$L$6,$O$103,0),0),0))</f>
        <v>1</v>
      </c>
      <c r="L91" s="129"/>
      <c r="M91" s="127">
        <f>(IF($M90&lt;&gt;"",($M$6*$O$104)+IF($M$6=4,($O$102)+IF($M90=$M$6+$N$6,$O$103,0),0),0)+IF($N90&lt;&gt;"",($N$6*$O$104)+IF($N$6=4,($O$102)+IF($N90=$M$6+$N$6,$O$103,0),0),0))</f>
        <v>2</v>
      </c>
      <c r="N91" s="129"/>
      <c r="O91" s="130">
        <f>(IF($O90&lt;&gt;"",($O$6*$O$104)+IF($O$6=4,($O$102)+IF($O90=$O$6+$P$6,$O$103,0),0),0)+IF($P90&lt;&gt;"",($P$6*$O$104)+IF($P$6=4,($O$102)+IF($P90=$O$6+$P$6,$O$103,0),0),0))</f>
        <v>2</v>
      </c>
      <c r="P91" s="129"/>
      <c r="Q91" s="130">
        <f>(IF($Q90&lt;&gt;"",($Q$6*$O$104)+IF($Q$6=4,($O$102)+IF($Q90=$Q$6+$R$6,$O$103,0),0),0)+IF($R90&lt;&gt;"",($R$6*$O$104)+IF($R$6=4,($O$102)+IF($R90=$Q$6+$R$6,$O$103,0),0),0))</f>
        <v>3</v>
      </c>
      <c r="R91" s="133"/>
      <c r="S91" s="123"/>
      <c r="T91" s="59"/>
      <c r="U91" s="60"/>
      <c r="V91" s="61"/>
      <c r="W91" s="62"/>
      <c r="X91" s="63"/>
      <c r="Y91" s="60"/>
      <c r="Z91" s="61"/>
      <c r="AA91" s="64"/>
      <c r="AB91" s="123"/>
      <c r="AC91" s="140"/>
      <c r="AD91" s="137"/>
      <c r="AE91" s="138"/>
      <c r="AF91" s="140"/>
      <c r="AG91" s="123"/>
      <c r="AH91" s="134"/>
      <c r="AI91" s="139"/>
      <c r="AJ91" s="123"/>
      <c r="AK91" s="112"/>
      <c r="AL91" s="123"/>
    </row>
    <row r="92" spans="1:38" s="27" customFormat="1" hidden="1" x14ac:dyDescent="0.2">
      <c r="A92" s="101"/>
      <c r="B92" s="126" t="s">
        <v>52</v>
      </c>
      <c r="C92" s="120">
        <f>IF(ISBLANK(C90),
0,
IF(C$6= 4, 1, 0))</f>
        <v>0</v>
      </c>
      <c r="D92" s="120">
        <f>IF(ISBLANK(D90),
0,
IF(D$6 = 4, 1, 0))</f>
        <v>0</v>
      </c>
      <c r="E92" s="120">
        <f>IF(ISBLANK(E90),
0,
IF(E$6= 4, 1, 0))</f>
        <v>0</v>
      </c>
      <c r="F92" s="120">
        <f>IF(ISBLANK(F90),
0,
IF(F$6 = 4, 1, 0))</f>
        <v>0</v>
      </c>
      <c r="G92" s="120">
        <f>IF(ISBLANK(G90),
0,
IF(G$6= 4, 1, 0))</f>
        <v>0</v>
      </c>
      <c r="H92" s="120">
        <f>IF(ISBLANK(H90),
0,
IF(H$6 = 4, 1, 0))</f>
        <v>0</v>
      </c>
      <c r="I92" s="120">
        <f>IF(ISBLANK(I90),
0,
IF(I$6= 4, 1, 0))</f>
        <v>0</v>
      </c>
      <c r="J92" s="120">
        <f>IF(ISBLANK(J90),
0,
IF(J$6 = 4, 1, 0))</f>
        <v>0</v>
      </c>
      <c r="K92" s="120">
        <f>IF(ISBLANK(K90),
0,
IF(K$6= 4, 1, 0))</f>
        <v>0</v>
      </c>
      <c r="L92" s="120">
        <f>IF(ISBLANK(L90),
0,
IF(L$6 = 4, 1, 0))</f>
        <v>0</v>
      </c>
      <c r="M92" s="120">
        <f>IF(ISBLANK(M90),
0,
IF(M$6= 4, 1, 0))</f>
        <v>0</v>
      </c>
      <c r="N92" s="120">
        <f>IF(ISBLANK(N90),
0,
IF(N$6 = 4, 1, 0))</f>
        <v>0</v>
      </c>
      <c r="O92" s="120">
        <f>IF(ISBLANK(O90),
0,
IF(O$6= 4, 1, 0))</f>
        <v>0</v>
      </c>
      <c r="P92" s="120">
        <f>IF(ISBLANK(P90),
0,
IF(P$6 = 4, 1, 0))</f>
        <v>0</v>
      </c>
      <c r="Q92" s="120">
        <f>IF(ISBLANK(Q90),
0,
IF(Q$6= 4, 1, 0))</f>
        <v>0</v>
      </c>
      <c r="R92" s="120">
        <f>IF(ISBLANK(R90),
0,
IF(R$6 = 4, 1, 0))</f>
        <v>0</v>
      </c>
      <c r="S92" s="142"/>
      <c r="T92" s="77"/>
      <c r="U92" s="77"/>
      <c r="V92" s="77"/>
      <c r="W92" s="77"/>
      <c r="X92" s="77"/>
      <c r="Y92" s="77"/>
      <c r="Z92" s="77"/>
      <c r="AA92" s="77"/>
      <c r="AB92" s="142"/>
      <c r="AC92" s="120"/>
      <c r="AD92" s="120"/>
      <c r="AE92" s="120"/>
      <c r="AF92" s="120"/>
      <c r="AG92" s="142"/>
      <c r="AH92" s="120"/>
      <c r="AI92" s="120"/>
      <c r="AJ92" s="142"/>
      <c r="AK92" s="143">
        <f>SUM(C92:AI92)</f>
        <v>0</v>
      </c>
      <c r="AL92" s="125"/>
    </row>
    <row r="93" spans="1:38" s="27" customFormat="1" hidden="1" x14ac:dyDescent="0.2">
      <c r="A93" s="101"/>
      <c r="B93" s="126" t="s">
        <v>53</v>
      </c>
      <c r="C93" s="120">
        <f>IF(C92 = 0,
0,
IF(C90 = (C$6+D$6),1,0))</f>
        <v>0</v>
      </c>
      <c r="D93" s="120">
        <f>IF(D92 = 0,
0,
IF(D90 = (C$6+D$6),1,0))</f>
        <v>0</v>
      </c>
      <c r="E93" s="120">
        <f>IF(E92 = 0,
0,
IF(E90 = (E$6+F$6),1,0))</f>
        <v>0</v>
      </c>
      <c r="F93" s="120">
        <f>IF(F92 = 0,
0,
IF(F90 = (E$6+F$6),1,0))</f>
        <v>0</v>
      </c>
      <c r="G93" s="120">
        <f>IF(G92 = 0,
0,
IF(G90 = (G$6+H$6),1,0))</f>
        <v>0</v>
      </c>
      <c r="H93" s="120">
        <f>IF(H92 = 0,
0,
IF(H90 = (G$6+H$6),1,0))</f>
        <v>0</v>
      </c>
      <c r="I93" s="120">
        <f>IF(I92 = 0,
0,
IF(I90 = (I$6+J$6),1,0))</f>
        <v>0</v>
      </c>
      <c r="J93" s="120">
        <f>IF(J92 = 0,
0,
IF(J90 = (I$6+J$6),1,0))</f>
        <v>0</v>
      </c>
      <c r="K93" s="120">
        <f>IF(K92 = 0,
0,
IF(K90 = (K$6+L$6),1,0))</f>
        <v>0</v>
      </c>
      <c r="L93" s="120">
        <f>IF(L92 = 0,
0,
IF(L90 = (K$6+L$6),1,0))</f>
        <v>0</v>
      </c>
      <c r="M93" s="120">
        <f>IF(M92 = 0,
0,
IF(M90 = (M$6+N$6),1,0))</f>
        <v>0</v>
      </c>
      <c r="N93" s="120">
        <f>IF(N92 = 0,
0,
IF(N90 = (M$6+N$6),1,0))</f>
        <v>0</v>
      </c>
      <c r="O93" s="120">
        <f>IF(O92 = 0,
0,
IF(O90 = (O$6+P$6),1,0))</f>
        <v>0</v>
      </c>
      <c r="P93" s="120">
        <f>IF(P92 = 0,
0,
IF(P90 = (O$6+P$6),1,0))</f>
        <v>0</v>
      </c>
      <c r="Q93" s="120">
        <f>IF(Q92 = 0,
0,
IF(Q90 = (Q$6+R$6),1,0))</f>
        <v>0</v>
      </c>
      <c r="R93" s="120">
        <f>IF(R92 = 0,
0,
IF(R90 = (Q$6+R$6),1,0))</f>
        <v>0</v>
      </c>
      <c r="S93" s="142"/>
      <c r="T93" s="77"/>
      <c r="U93" s="77"/>
      <c r="V93" s="77"/>
      <c r="W93" s="77"/>
      <c r="X93" s="77"/>
      <c r="Y93" s="77"/>
      <c r="Z93" s="77"/>
      <c r="AA93" s="77"/>
      <c r="AB93" s="142"/>
      <c r="AC93" s="120"/>
      <c r="AD93" s="120"/>
      <c r="AE93" s="120"/>
      <c r="AF93" s="120"/>
      <c r="AG93" s="142"/>
      <c r="AH93" s="120"/>
      <c r="AI93" s="120"/>
      <c r="AJ93" s="142"/>
      <c r="AK93" s="143">
        <f>SUM(C93:AI93)</f>
        <v>0</v>
      </c>
      <c r="AL93" s="125"/>
    </row>
    <row r="94" spans="1:38" s="27" customFormat="1" ht="12.75" customHeight="1" thickBot="1" x14ac:dyDescent="0.25">
      <c r="A94" s="119">
        <f>RANK(AL94,$AL$10:$AL$97,)</f>
        <v>20</v>
      </c>
      <c r="B94" s="86" t="s">
        <v>78</v>
      </c>
      <c r="C94" s="216">
        <v>5</v>
      </c>
      <c r="D94" s="217"/>
      <c r="E94" s="218"/>
      <c r="F94" s="217">
        <v>7</v>
      </c>
      <c r="G94" s="219">
        <v>6</v>
      </c>
      <c r="H94" s="220"/>
      <c r="I94" s="218"/>
      <c r="J94" s="220">
        <v>7</v>
      </c>
      <c r="K94" s="221">
        <v>5</v>
      </c>
      <c r="L94" s="220"/>
      <c r="M94" s="218">
        <v>6</v>
      </c>
      <c r="N94" s="217"/>
      <c r="O94" s="218">
        <v>7</v>
      </c>
      <c r="P94" s="217"/>
      <c r="Q94" s="219"/>
      <c r="R94" s="222">
        <v>7</v>
      </c>
      <c r="S94" s="124">
        <f>SUM(C95:R95)</f>
        <v>14</v>
      </c>
      <c r="T94" s="46"/>
      <c r="U94" s="47">
        <v>7</v>
      </c>
      <c r="V94" s="44">
        <v>7</v>
      </c>
      <c r="W94" s="47"/>
      <c r="X94" s="49">
        <v>6</v>
      </c>
      <c r="Y94" s="45"/>
      <c r="Z94" s="48">
        <v>6</v>
      </c>
      <c r="AA94" s="47"/>
      <c r="AB94" s="208">
        <f>SUM(T95:AA95)</f>
        <v>0</v>
      </c>
      <c r="AC94" s="48"/>
      <c r="AD94" s="47"/>
      <c r="AE94" s="49"/>
      <c r="AF94" s="47"/>
      <c r="AG94" s="208">
        <f>SUM(AC95:AF95)</f>
        <v>0</v>
      </c>
      <c r="AH94" s="102"/>
      <c r="AI94" s="58"/>
      <c r="AJ94" s="124">
        <f>AH95</f>
        <v>0</v>
      </c>
      <c r="AK94" s="113">
        <f>MAX($AL$10:$AL$97) - AL94</f>
        <v>30</v>
      </c>
      <c r="AL94" s="208">
        <f>$S94+$AB94+$AG94+$AJ94</f>
        <v>14</v>
      </c>
    </row>
    <row r="95" spans="1:38" s="27" customFormat="1" hidden="1" x14ac:dyDescent="0.2">
      <c r="A95" s="119" t="e">
        <f>RANK(AL95,$AL$10:$AL$97,)</f>
        <v>#N/A</v>
      </c>
      <c r="B95" s="100"/>
      <c r="C95" s="128">
        <f>(IF($C94&lt;&gt;"",($C$6*$O$104)+IF($C$6=4,($O$102)+IF($C94=$C$6+$D$6,$O$103,0),0),0)+IF($D94&lt;&gt;"",($D$6*$O$104)+IF($D$6=4,($O$102)+IF($D94=$C$6+$D$6,$O$103,0),0),0))</f>
        <v>0</v>
      </c>
      <c r="D95" s="129"/>
      <c r="E95" s="127">
        <f>(IF($E94&lt;&gt;"",($E$6*$O$104)+IF($E$6=4,($O$102)+IF($E94=$E$6+$F$6,$O$103,0),0),0)+IF($F94&lt;&gt;"",($F$6*$O$104)+IF($F$6=4,($O$102)+IF($F94=$E$6+$F$6,$O$103,0),0),0))</f>
        <v>3</v>
      </c>
      <c r="F95" s="129"/>
      <c r="G95" s="127">
        <f>(IF($G94&lt;&gt;"",($G$6*$O$104)+IF($G$6=4,($O$102)+IF($G94=$G$6+$H$6,$O$103,0),0),0)+IF($H94&lt;&gt;"",($H$6*$O$104)+IF($H$6=4,($O$102)+IF($H94=$G$6+$H$6,$O$103,0),0),0))</f>
        <v>3</v>
      </c>
      <c r="H95" s="129"/>
      <c r="I95" s="130">
        <f>(IF($I94&lt;&gt;"",($I$6*$O$104)+IF($I$6=4,($O$102)+IF($I94=$I$6+$J$6,$O$103,0),0),0)+IF($J94&lt;&gt;"",($J$6*$O$104)+IF($J$6=4,($O$102)+IF($J94=$I$6+$J$6,$O$103,0),0),0))</f>
        <v>0</v>
      </c>
      <c r="J95" s="131"/>
      <c r="K95" s="132">
        <f>(IF($K94&lt;&gt;"",($K$6*$O$104)+IF($K$6=4,($O$102)+IF($K94=$K$6+$L$6,$O$103,0),0),0)+IF($L94&lt;&gt;"",($L$6*$O$104)+IF($L$6=4,($O$102)+IF($L94=$K$6+$L$6,$O$103,0),0),0))</f>
        <v>1</v>
      </c>
      <c r="L95" s="129"/>
      <c r="M95" s="127">
        <f>(IF($M94&lt;&gt;"",($M$6*$O$104)+IF($M$6=4,($O$102)+IF($M94=$M$6+$N$6,$O$103,0),0),0)+IF($N94&lt;&gt;"",($N$6*$O$104)+IF($N$6=4,($O$102)+IF($N94=$M$6+$N$6,$O$103,0),0),0))</f>
        <v>2</v>
      </c>
      <c r="N95" s="129"/>
      <c r="O95" s="130">
        <f>(IF($O94&lt;&gt;"",($O$6*$O$104)+IF($O$6=4,($O$102)+IF($O94=$O$6+$P$6,$O$103,0),0),0)+IF($P94&lt;&gt;"",($P$6*$O$104)+IF($P$6=4,($O$102)+IF($P94=$O$6+$P$6,$O$103,0),0),0))</f>
        <v>2</v>
      </c>
      <c r="P95" s="129"/>
      <c r="Q95" s="130">
        <f>(IF($Q94&lt;&gt;"",($Q$6*$O$104)+IF($Q$6=4,($O$102)+IF($Q94=$Q$6+$R$6,$O$103,0),0),0)+IF($R94&lt;&gt;"",($R$6*$O$104)+IF($R$6=4,($O$102)+IF($R94=$Q$6+$R$6,$O$103,0),0),0))</f>
        <v>3</v>
      </c>
      <c r="R95" s="133"/>
      <c r="S95" s="123"/>
      <c r="T95" s="134"/>
      <c r="U95" s="135"/>
      <c r="V95" s="136"/>
      <c r="W95" s="137"/>
      <c r="X95" s="138"/>
      <c r="Y95" s="135"/>
      <c r="Z95" s="136"/>
      <c r="AA95" s="139"/>
      <c r="AB95" s="123"/>
      <c r="AC95" s="140"/>
      <c r="AD95" s="137"/>
      <c r="AE95" s="138"/>
      <c r="AF95" s="140"/>
      <c r="AG95" s="123"/>
      <c r="AH95" s="134"/>
      <c r="AI95" s="139"/>
      <c r="AJ95" s="123"/>
      <c r="AK95" s="112"/>
      <c r="AL95" s="123"/>
    </row>
    <row r="96" spans="1:38" s="27" customFormat="1" hidden="1" x14ac:dyDescent="0.2">
      <c r="A96" s="101"/>
      <c r="B96" s="126" t="s">
        <v>52</v>
      </c>
      <c r="C96" s="120">
        <f>IF(ISBLANK(C94),
0,
IF(C$6= 4, 1, 0))</f>
        <v>0</v>
      </c>
      <c r="D96" s="120">
        <f>IF(ISBLANK(D94),
0,
IF(D$6 = 4, 1, 0))</f>
        <v>0</v>
      </c>
      <c r="E96" s="120">
        <f>IF(ISBLANK(E94),
0,
IF(E$6= 4, 1, 0))</f>
        <v>0</v>
      </c>
      <c r="F96" s="120">
        <f>IF(ISBLANK(F94),
0,
IF(F$6 = 4, 1, 0))</f>
        <v>0</v>
      </c>
      <c r="G96" s="120">
        <f>IF(ISBLANK(G94),
0,
IF(G$6= 4, 1, 0))</f>
        <v>0</v>
      </c>
      <c r="H96" s="120">
        <f>IF(ISBLANK(H94),
0,
IF(H$6 = 4, 1, 0))</f>
        <v>0</v>
      </c>
      <c r="I96" s="120">
        <f>IF(ISBLANK(I94),
0,
IF(I$6= 4, 1, 0))</f>
        <v>0</v>
      </c>
      <c r="J96" s="120">
        <f>IF(ISBLANK(J94),
0,
IF(J$6 = 4, 1, 0))</f>
        <v>0</v>
      </c>
      <c r="K96" s="120">
        <f>IF(ISBLANK(K94),
0,
IF(K$6= 4, 1, 0))</f>
        <v>0</v>
      </c>
      <c r="L96" s="120">
        <f>IF(ISBLANK(L94),
0,
IF(L$6 = 4, 1, 0))</f>
        <v>0</v>
      </c>
      <c r="M96" s="120">
        <f>IF(ISBLANK(M94),
0,
IF(M$6= 4, 1, 0))</f>
        <v>0</v>
      </c>
      <c r="N96" s="120">
        <f>IF(ISBLANK(N94),
0,
IF(N$6 = 4, 1, 0))</f>
        <v>0</v>
      </c>
      <c r="O96" s="120">
        <f>IF(ISBLANK(O94),
0,
IF(O$6= 4, 1, 0))</f>
        <v>0</v>
      </c>
      <c r="P96" s="120">
        <f>IF(ISBLANK(P94),
0,
IF(P$6 = 4, 1, 0))</f>
        <v>0</v>
      </c>
      <c r="Q96" s="120">
        <f>IF(ISBLANK(Q94),
0,
IF(Q$6= 4, 1, 0))</f>
        <v>0</v>
      </c>
      <c r="R96" s="120">
        <f>IF(ISBLANK(R94),
0,
IF(R$6 = 4, 1, 0))</f>
        <v>0</v>
      </c>
      <c r="S96" s="142"/>
      <c r="T96" s="120"/>
      <c r="U96" s="120"/>
      <c r="V96" s="120"/>
      <c r="W96" s="120"/>
      <c r="X96" s="120"/>
      <c r="Y96" s="120"/>
      <c r="Z96" s="120"/>
      <c r="AA96" s="120"/>
      <c r="AB96" s="142"/>
      <c r="AC96" s="120"/>
      <c r="AD96" s="120"/>
      <c r="AE96" s="120"/>
      <c r="AF96" s="120"/>
      <c r="AG96" s="142"/>
      <c r="AH96" s="120"/>
      <c r="AI96" s="120"/>
      <c r="AJ96" s="142"/>
      <c r="AK96" s="143">
        <f>SUM(C96:AI96)</f>
        <v>0</v>
      </c>
      <c r="AL96" s="125"/>
    </row>
    <row r="97" spans="1:38" s="27" customFormat="1" ht="13.5" hidden="1" thickBot="1" x14ac:dyDescent="0.25">
      <c r="A97" s="101"/>
      <c r="B97" s="126" t="s">
        <v>53</v>
      </c>
      <c r="C97" s="120">
        <f>IF(C96 = 0,
0,
IF(C94 = (C$6+D$6),1,0))</f>
        <v>0</v>
      </c>
      <c r="D97" s="120">
        <f>IF(D96 = 0,
0,
IF(D94 = (C$6+D$6),1,0))</f>
        <v>0</v>
      </c>
      <c r="E97" s="120">
        <f>IF(E96 = 0,
0,
IF(E94 = (E$6+F$6),1,0))</f>
        <v>0</v>
      </c>
      <c r="F97" s="120">
        <f>IF(F96 = 0,
0,
IF(F94 = (E$6+F$6),1,0))</f>
        <v>0</v>
      </c>
      <c r="G97" s="120">
        <f>IF(G96 = 0,
0,
IF(G94 = (G$6+H$6),1,0))</f>
        <v>0</v>
      </c>
      <c r="H97" s="120">
        <f>IF(H96 = 0,
0,
IF(H94 = (G$6+H$6),1,0))</f>
        <v>0</v>
      </c>
      <c r="I97" s="120">
        <f>IF(I96 = 0,
0,
IF(I94 = (I$6+J$6),1,0))</f>
        <v>0</v>
      </c>
      <c r="J97" s="120">
        <f>IF(J96 = 0,
0,
IF(J94 = (I$6+J$6),1,0))</f>
        <v>0</v>
      </c>
      <c r="K97" s="120">
        <f>IF(K96 = 0,
0,
IF(K94 = (K$6+L$6),1,0))</f>
        <v>0</v>
      </c>
      <c r="L97" s="120">
        <f>IF(L96 = 0,
0,
IF(L94 = (K$6+L$6),1,0))</f>
        <v>0</v>
      </c>
      <c r="M97" s="120">
        <f>IF(M96 = 0,
0,
IF(M94 = (M$6+N$6),1,0))</f>
        <v>0</v>
      </c>
      <c r="N97" s="120">
        <f>IF(N96 = 0,
0,
IF(N94 = (M$6+N$6),1,0))</f>
        <v>0</v>
      </c>
      <c r="O97" s="120">
        <f>IF(O96 = 0,
0,
IF(O94 = (O$6+P$6),1,0))</f>
        <v>0</v>
      </c>
      <c r="P97" s="120">
        <f>IF(P96 = 0,
0,
IF(P94 = (O$6+P$6),1,0))</f>
        <v>0</v>
      </c>
      <c r="Q97" s="120">
        <f>IF(Q96 = 0,
0,
IF(Q94 = (Q$6+R$6),1,0))</f>
        <v>0</v>
      </c>
      <c r="R97" s="120">
        <f>IF(R96 = 0,
0,
IF(R94 = (Q$6+R$6),1,0))</f>
        <v>0</v>
      </c>
      <c r="S97" s="142"/>
      <c r="T97" s="120"/>
      <c r="U97" s="120"/>
      <c r="V97" s="120"/>
      <c r="W97" s="120"/>
      <c r="X97" s="120"/>
      <c r="Y97" s="120"/>
      <c r="Z97" s="120"/>
      <c r="AA97" s="120"/>
      <c r="AB97" s="142"/>
      <c r="AC97" s="120"/>
      <c r="AD97" s="120"/>
      <c r="AE97" s="120"/>
      <c r="AF97" s="120"/>
      <c r="AG97" s="142"/>
      <c r="AH97" s="120"/>
      <c r="AI97" s="120"/>
      <c r="AJ97" s="142"/>
      <c r="AK97" s="143">
        <f>SUM(C97:AI97)</f>
        <v>0</v>
      </c>
      <c r="AL97" s="207"/>
    </row>
    <row r="98" spans="1:38" ht="12.75" customHeight="1" thickBot="1" x14ac:dyDescent="0.25">
      <c r="A98" s="65"/>
      <c r="B98" s="55"/>
      <c r="C98" s="211">
        <f t="shared" ref="C98:AA98" si="0">COUNT(C10,C14,C18,C22,C26,C30,C34, C38, C42,C46,C50,C54,C58,C62,C66,C70,C74,C78,C82,C90,C94,C86)</f>
        <v>22</v>
      </c>
      <c r="D98" s="209">
        <f t="shared" si="0"/>
        <v>0</v>
      </c>
      <c r="E98" s="211">
        <f t="shared" si="0"/>
        <v>18</v>
      </c>
      <c r="F98" s="209">
        <f t="shared" si="0"/>
        <v>4</v>
      </c>
      <c r="G98" s="211">
        <f t="shared" si="0"/>
        <v>19</v>
      </c>
      <c r="H98" s="209">
        <f t="shared" si="0"/>
        <v>3</v>
      </c>
      <c r="I98" s="211">
        <f t="shared" si="0"/>
        <v>4</v>
      </c>
      <c r="J98" s="316">
        <f t="shared" si="0"/>
        <v>18</v>
      </c>
      <c r="K98" s="210">
        <f t="shared" si="0"/>
        <v>21</v>
      </c>
      <c r="L98" s="209">
        <f t="shared" si="0"/>
        <v>1</v>
      </c>
      <c r="M98" s="211">
        <f t="shared" si="0"/>
        <v>14</v>
      </c>
      <c r="N98" s="209">
        <f t="shared" si="0"/>
        <v>8</v>
      </c>
      <c r="O98" s="211">
        <f t="shared" si="0"/>
        <v>21</v>
      </c>
      <c r="P98" s="209">
        <f t="shared" si="0"/>
        <v>1</v>
      </c>
      <c r="Q98" s="211">
        <f t="shared" si="0"/>
        <v>7</v>
      </c>
      <c r="R98" s="212">
        <f t="shared" si="0"/>
        <v>15</v>
      </c>
      <c r="S98" s="70"/>
      <c r="T98" s="211">
        <f t="shared" si="0"/>
        <v>4</v>
      </c>
      <c r="U98" s="209">
        <f t="shared" si="0"/>
        <v>18</v>
      </c>
      <c r="V98" s="211">
        <f t="shared" si="0"/>
        <v>16</v>
      </c>
      <c r="W98" s="316">
        <f t="shared" si="0"/>
        <v>6</v>
      </c>
      <c r="X98" s="210">
        <f t="shared" si="0"/>
        <v>12</v>
      </c>
      <c r="Y98" s="209">
        <f t="shared" si="0"/>
        <v>9</v>
      </c>
      <c r="Z98" s="211">
        <f t="shared" si="0"/>
        <v>16</v>
      </c>
      <c r="AA98" s="212">
        <f t="shared" si="0"/>
        <v>5</v>
      </c>
      <c r="AB98" s="103"/>
      <c r="AC98" s="66">
        <f>COUNT(AC10,AC14,AC18,AC22,AC26,AC30,AC34, AC38, AC42,AC46,AC50,AC54,AC58,AC62,AC66,AC70,AC74,AC78,#REF!)</f>
        <v>0</v>
      </c>
      <c r="AD98" s="67">
        <f>COUNT(AD10,AD14,AD18,AD22,AD26,AD30,AD34, AD38, AD42,AD46,AD50,AD54,AD58,AD62,AD66,AD70,AD74,AD78,#REF!)</f>
        <v>0</v>
      </c>
      <c r="AE98" s="68">
        <f>COUNT(AE10,AE14,AE18,AE22,AE26,AE30,AE34, AE38, AE42,AE46,AE50,AE54,AE58,AE62,AE66,AE70,AE74,AE78,#REF!)</f>
        <v>0</v>
      </c>
      <c r="AF98" s="69">
        <f>COUNT(AF10,AF14,AF18,AF22,AF26,AF30,AF34, AF38, AF42,AF46,AF50,AF54,AF58,AF62,AF66,AF70,AF74,AF78,#REF!)</f>
        <v>0</v>
      </c>
      <c r="AG98" s="103"/>
      <c r="AH98" s="71">
        <f>COUNT(AH10,AH14,AH18,AH22,AH26,AH30,AH34, AH38, AH42,AH46,AH50,AH54,AH58,AH62,AH66,AH70,AH74,AH78,#REF!)</f>
        <v>0</v>
      </c>
      <c r="AI98" s="72">
        <f>COUNT(AI10,AI14,AI18,AI22,AI26,AI30,AI34, AI38, AI42,AI46,AI50,AI54,AI58,AI62,AI66,AI70,AI74,AI78,#REF!)</f>
        <v>0</v>
      </c>
      <c r="AJ98" s="73"/>
      <c r="AK98" s="55"/>
    </row>
    <row r="99" spans="1:38" ht="6.95" customHeight="1" thickBot="1" x14ac:dyDescent="0.25"/>
    <row r="100" spans="1:38" ht="13.5" thickBot="1" x14ac:dyDescent="0.25">
      <c r="B100" s="43"/>
      <c r="N100" s="26"/>
      <c r="O100" s="264" t="s">
        <v>17</v>
      </c>
      <c r="P100" s="265"/>
      <c r="Q100" s="265"/>
      <c r="R100" s="266"/>
      <c r="AG100" s="30"/>
      <c r="AH100" s="30"/>
      <c r="AI100" s="30"/>
      <c r="AJ100" s="30"/>
      <c r="AK100" s="30"/>
    </row>
    <row r="101" spans="1:38" ht="13.5" thickBot="1" x14ac:dyDescent="0.25">
      <c r="A101" s="33"/>
      <c r="B101" s="293" t="s">
        <v>16</v>
      </c>
      <c r="C101" s="294"/>
      <c r="D101" s="294"/>
      <c r="E101" s="294"/>
      <c r="F101" s="294"/>
      <c r="G101" s="294"/>
      <c r="H101" s="294"/>
      <c r="I101" s="294"/>
      <c r="J101" s="294"/>
      <c r="K101" s="294"/>
      <c r="L101" s="294"/>
      <c r="M101" s="294"/>
      <c r="N101" s="295"/>
      <c r="O101" s="21">
        <v>1</v>
      </c>
      <c r="P101" s="21">
        <v>2</v>
      </c>
      <c r="Q101" s="21">
        <v>3</v>
      </c>
      <c r="R101" s="22">
        <v>4</v>
      </c>
      <c r="U101" s="267" t="s">
        <v>26</v>
      </c>
      <c r="V101" s="268"/>
      <c r="W101" s="268"/>
      <c r="X101" s="268"/>
      <c r="Y101" s="268"/>
      <c r="Z101" s="268"/>
      <c r="AA101" s="268"/>
      <c r="AB101" s="268"/>
      <c r="AC101" s="268"/>
      <c r="AD101" s="269"/>
      <c r="AE101" s="28"/>
      <c r="AF101" s="28"/>
      <c r="AG101" s="270" t="s">
        <v>24</v>
      </c>
      <c r="AH101" s="271"/>
      <c r="AI101" s="271"/>
      <c r="AJ101" s="271"/>
      <c r="AK101" s="272"/>
    </row>
    <row r="102" spans="1:38" x14ac:dyDescent="0.2">
      <c r="A102" s="34"/>
      <c r="B102" s="300" t="s">
        <v>6</v>
      </c>
      <c r="C102" s="301"/>
      <c r="D102" s="301"/>
      <c r="E102" s="301"/>
      <c r="F102" s="301"/>
      <c r="G102" s="301"/>
      <c r="H102" s="301"/>
      <c r="I102" s="301"/>
      <c r="J102" s="301"/>
      <c r="K102" s="301"/>
      <c r="L102" s="301"/>
      <c r="M102" s="301"/>
      <c r="N102" s="302"/>
      <c r="O102" s="20">
        <v>5</v>
      </c>
      <c r="P102" s="20">
        <v>10</v>
      </c>
      <c r="Q102" s="20">
        <v>15</v>
      </c>
      <c r="R102" s="23">
        <v>20</v>
      </c>
      <c r="U102" s="298" t="s">
        <v>20</v>
      </c>
      <c r="V102" s="299"/>
      <c r="W102" s="299"/>
      <c r="X102" s="299"/>
      <c r="Y102" s="299"/>
      <c r="Z102" s="299"/>
      <c r="AA102" s="299"/>
      <c r="AB102" s="296">
        <v>22</v>
      </c>
      <c r="AC102" s="296"/>
      <c r="AD102" s="297"/>
      <c r="AE102" s="29"/>
      <c r="AF102" s="29"/>
      <c r="AG102" s="312" t="s">
        <v>21</v>
      </c>
      <c r="AH102" s="313"/>
      <c r="AI102" s="313"/>
      <c r="AJ102" s="314"/>
      <c r="AK102" s="213">
        <v>230</v>
      </c>
    </row>
    <row r="103" spans="1:38" ht="13.5" thickBot="1" x14ac:dyDescent="0.25">
      <c r="A103" s="34"/>
      <c r="B103" s="300" t="s">
        <v>5</v>
      </c>
      <c r="C103" s="301"/>
      <c r="D103" s="301"/>
      <c r="E103" s="301"/>
      <c r="F103" s="301"/>
      <c r="G103" s="301"/>
      <c r="H103" s="301"/>
      <c r="I103" s="301"/>
      <c r="J103" s="301"/>
      <c r="K103" s="301"/>
      <c r="L103" s="301"/>
      <c r="M103" s="301"/>
      <c r="N103" s="302"/>
      <c r="O103" s="20">
        <v>2</v>
      </c>
      <c r="P103" s="20">
        <v>4</v>
      </c>
      <c r="Q103" s="20">
        <v>6</v>
      </c>
      <c r="R103" s="23">
        <v>8</v>
      </c>
      <c r="U103" s="307" t="s">
        <v>18</v>
      </c>
      <c r="V103" s="308"/>
      <c r="W103" s="308"/>
      <c r="X103" s="308"/>
      <c r="Y103" s="308"/>
      <c r="Z103" s="308"/>
      <c r="AA103" s="308"/>
      <c r="AB103" s="309">
        <v>20</v>
      </c>
      <c r="AC103" s="309"/>
      <c r="AD103" s="310"/>
      <c r="AE103" s="29"/>
      <c r="AF103" s="29"/>
      <c r="AG103" s="315" t="s">
        <v>22</v>
      </c>
      <c r="AH103" s="301"/>
      <c r="AI103" s="301"/>
      <c r="AJ103" s="302"/>
      <c r="AK103" s="36">
        <v>115</v>
      </c>
    </row>
    <row r="104" spans="1:38" ht="14.25" thickTop="1" thickBot="1" x14ac:dyDescent="0.25">
      <c r="A104" s="35"/>
      <c r="B104" s="286" t="s">
        <v>4</v>
      </c>
      <c r="C104" s="287"/>
      <c r="D104" s="287"/>
      <c r="E104" s="287"/>
      <c r="F104" s="287"/>
      <c r="G104" s="287"/>
      <c r="H104" s="287"/>
      <c r="I104" s="287"/>
      <c r="J104" s="287"/>
      <c r="K104" s="287"/>
      <c r="L104" s="287"/>
      <c r="M104" s="287"/>
      <c r="N104" s="288"/>
      <c r="O104" s="3">
        <v>1</v>
      </c>
      <c r="P104" s="3">
        <v>1</v>
      </c>
      <c r="Q104" s="3">
        <v>1</v>
      </c>
      <c r="R104" s="24">
        <v>1</v>
      </c>
      <c r="U104" s="303" t="s">
        <v>19</v>
      </c>
      <c r="V104" s="304"/>
      <c r="W104" s="304"/>
      <c r="X104" s="304"/>
      <c r="Y104" s="304"/>
      <c r="Z104" s="304"/>
      <c r="AA104" s="304"/>
      <c r="AB104" s="305">
        <f>AB102*AB103</f>
        <v>440</v>
      </c>
      <c r="AC104" s="305"/>
      <c r="AD104" s="306"/>
      <c r="AE104" s="29"/>
      <c r="AF104" s="29"/>
      <c r="AG104" s="315" t="s">
        <v>25</v>
      </c>
      <c r="AH104" s="301"/>
      <c r="AI104" s="301"/>
      <c r="AJ104" s="302"/>
      <c r="AK104" s="36">
        <v>65</v>
      </c>
    </row>
    <row r="105" spans="1:38" ht="13.5" thickBot="1" x14ac:dyDescent="0.25">
      <c r="AG105" s="307" t="s">
        <v>23</v>
      </c>
      <c r="AH105" s="308"/>
      <c r="AI105" s="308"/>
      <c r="AJ105" s="308"/>
      <c r="AK105" s="215">
        <v>30</v>
      </c>
    </row>
    <row r="106" spans="1:38" ht="14.25" thickTop="1" thickBot="1" x14ac:dyDescent="0.25">
      <c r="AG106" s="311" t="s">
        <v>19</v>
      </c>
      <c r="AH106" s="304"/>
      <c r="AI106" s="304"/>
      <c r="AJ106" s="304"/>
      <c r="AK106" s="21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61" priority="199" stopIfTrue="1" operator="notEqual">
      <formula>0</formula>
    </cfRule>
  </conditionalFormatting>
  <conditionalFormatting sqref="C10:R10">
    <cfRule type="cellIs" dxfId="160" priority="195" stopIfTrue="1" operator="notEqual">
      <formula>0</formula>
    </cfRule>
  </conditionalFormatting>
  <conditionalFormatting sqref="C14:R14">
    <cfRule type="cellIs" dxfId="159" priority="194" stopIfTrue="1" operator="notEqual">
      <formula>0</formula>
    </cfRule>
  </conditionalFormatting>
  <conditionalFormatting sqref="C18:R18">
    <cfRule type="cellIs" dxfId="158" priority="193" stopIfTrue="1" operator="notEqual">
      <formula>0</formula>
    </cfRule>
  </conditionalFormatting>
  <conditionalFormatting sqref="C22:R22">
    <cfRule type="cellIs" dxfId="157" priority="192" stopIfTrue="1" operator="notEqual">
      <formula>0</formula>
    </cfRule>
  </conditionalFormatting>
  <conditionalFormatting sqref="C26:R26">
    <cfRule type="cellIs" dxfId="156" priority="191" stopIfTrue="1" operator="notEqual">
      <formula>0</formula>
    </cfRule>
  </conditionalFormatting>
  <conditionalFormatting sqref="C30:R30">
    <cfRule type="cellIs" dxfId="155" priority="190" stopIfTrue="1" operator="notEqual">
      <formula>0</formula>
    </cfRule>
  </conditionalFormatting>
  <conditionalFormatting sqref="C34:R34">
    <cfRule type="cellIs" dxfId="154" priority="189" stopIfTrue="1" operator="notEqual">
      <formula>0</formula>
    </cfRule>
  </conditionalFormatting>
  <conditionalFormatting sqref="C38:R38">
    <cfRule type="cellIs" dxfId="153" priority="188" stopIfTrue="1" operator="notEqual">
      <formula>0</formula>
    </cfRule>
  </conditionalFormatting>
  <conditionalFormatting sqref="C42:R42">
    <cfRule type="cellIs" dxfId="152" priority="187" stopIfTrue="1" operator="notEqual">
      <formula>0</formula>
    </cfRule>
  </conditionalFormatting>
  <conditionalFormatting sqref="AH54:AI54 C54:R54 T54:AA54 AC54:AF54">
    <cfRule type="cellIs" dxfId="151" priority="186" stopIfTrue="1" operator="notEqual">
      <formula>0</formula>
    </cfRule>
  </conditionalFormatting>
  <conditionalFormatting sqref="AH46:AI46 C46:R46 T46:AA46 AC46:AF46">
    <cfRule type="cellIs" dxfId="150" priority="185" stopIfTrue="1" operator="notEqual">
      <formula>0</formula>
    </cfRule>
  </conditionalFormatting>
  <conditionalFormatting sqref="C46:R46">
    <cfRule type="cellIs" dxfId="149" priority="184" stopIfTrue="1" operator="notEqual">
      <formula>0</formula>
    </cfRule>
  </conditionalFormatting>
  <conditionalFormatting sqref="AH50:AI50 C50:R50 T50:AA50 AC50:AF50">
    <cfRule type="cellIs" dxfId="148" priority="183" stopIfTrue="1" operator="notEqual">
      <formula>0</formula>
    </cfRule>
  </conditionalFormatting>
  <conditionalFormatting sqref="C50:R50">
    <cfRule type="cellIs" dxfId="147" priority="182" stopIfTrue="1" operator="notEqual">
      <formula>0</formula>
    </cfRule>
  </conditionalFormatting>
  <conditionalFormatting sqref="AH58:AI58 C58:R58 T58:AA58 AC58:AF58">
    <cfRule type="cellIs" dxfId="146" priority="181" stopIfTrue="1" operator="notEqual">
      <formula>0</formula>
    </cfRule>
  </conditionalFormatting>
  <conditionalFormatting sqref="R18">
    <cfRule type="cellIs" dxfId="145" priority="180" stopIfTrue="1" operator="notEqual">
      <formula>0</formula>
    </cfRule>
  </conditionalFormatting>
  <conditionalFormatting sqref="AH70:AI70 C70:R70 T70:AA70 AC70:AF70">
    <cfRule type="cellIs" dxfId="144" priority="179" stopIfTrue="1" operator="notEqual">
      <formula>0</formula>
    </cfRule>
  </conditionalFormatting>
  <conditionalFormatting sqref="AH74:AI74 C74:R74 T74:AA74 AC74:AF74">
    <cfRule type="cellIs" dxfId="143" priority="178" stopIfTrue="1" operator="notEqual">
      <formula>0</formula>
    </cfRule>
  </conditionalFormatting>
  <conditionalFormatting sqref="AH78:AI78 C78:R78 T78:AA78 AC78:AF78">
    <cfRule type="cellIs" dxfId="142"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141" priority="172" operator="notEqual">
      <formula>""""""</formula>
    </cfRule>
  </conditionalFormatting>
  <conditionalFormatting sqref="AL10:AL23 AL26:AL27 AL38:AL39 AL30:AL31 AL42:AL43 AL46:AL47 AL50 AL58 AL54 AL62 AL66 AL70 AL74 AL78 AL34:AL35">
    <cfRule type="cellIs" dxfId="140" priority="171" operator="notEqual">
      <formula>""""""</formula>
    </cfRule>
  </conditionalFormatting>
  <conditionalFormatting sqref="AJ24:AJ25">
    <cfRule type="cellIs" dxfId="139" priority="168" operator="notEqual">
      <formula>""""""</formula>
    </cfRule>
  </conditionalFormatting>
  <conditionalFormatting sqref="AL24:AL25">
    <cfRule type="cellIs" dxfId="138" priority="169" operator="notEqual">
      <formula>""""""</formula>
    </cfRule>
  </conditionalFormatting>
  <conditionalFormatting sqref="AJ20:AJ21">
    <cfRule type="cellIs" dxfId="137" priority="167" operator="notEqual">
      <formula>""""""</formula>
    </cfRule>
  </conditionalFormatting>
  <conditionalFormatting sqref="AJ16:AJ17">
    <cfRule type="cellIs" dxfId="136" priority="166" operator="notEqual">
      <formula>""""""</formula>
    </cfRule>
  </conditionalFormatting>
  <conditionalFormatting sqref="AJ28:AJ29">
    <cfRule type="cellIs" dxfId="135" priority="162" operator="notEqual">
      <formula>""""""</formula>
    </cfRule>
  </conditionalFormatting>
  <conditionalFormatting sqref="AL28:AL29">
    <cfRule type="cellIs" dxfId="134" priority="163" operator="notEqual">
      <formula>""""""</formula>
    </cfRule>
  </conditionalFormatting>
  <conditionalFormatting sqref="AL36:AL37">
    <cfRule type="cellIs" dxfId="133" priority="161" operator="notEqual">
      <formula>""""""</formula>
    </cfRule>
  </conditionalFormatting>
  <conditionalFormatting sqref="AL40:AL41">
    <cfRule type="cellIs" dxfId="132" priority="159" operator="notEqual">
      <formula>""""""</formula>
    </cfRule>
  </conditionalFormatting>
  <conditionalFormatting sqref="AL44:AL45">
    <cfRule type="cellIs" dxfId="131" priority="157" operator="notEqual">
      <formula>""""""</formula>
    </cfRule>
  </conditionalFormatting>
  <conditionalFormatting sqref="AL48:AL49">
    <cfRule type="cellIs" dxfId="130" priority="155" operator="notEqual">
      <formula>""""""</formula>
    </cfRule>
  </conditionalFormatting>
  <conditionalFormatting sqref="S20:S21 AB20:AB21 AG20:AG21">
    <cfRule type="cellIs" dxfId="129" priority="132" operator="notEqual">
      <formula>""""""</formula>
    </cfRule>
  </conditionalFormatting>
  <conditionalFormatting sqref="S24:S25 AB24:AB25 AG24:AG25">
    <cfRule type="cellIs" dxfId="128" priority="131" operator="notEqual">
      <formula>""""""</formula>
    </cfRule>
  </conditionalFormatting>
  <conditionalFormatting sqref="S16:S17 AB16:AB17 AG16:AG17">
    <cfRule type="cellIs" dxfId="127" priority="133" operator="notEqual">
      <formula>""""""</formula>
    </cfRule>
  </conditionalFormatting>
  <conditionalFormatting sqref="S28:S29 AB28:AB29 AG28:AG29">
    <cfRule type="cellIs" dxfId="126" priority="130" operator="notEqual">
      <formula>""""""</formula>
    </cfRule>
  </conditionalFormatting>
  <conditionalFormatting sqref="AJ32:AJ33">
    <cfRule type="cellIs" dxfId="125" priority="128" operator="notEqual">
      <formula>""""""</formula>
    </cfRule>
  </conditionalFormatting>
  <conditionalFormatting sqref="AL32:AL33">
    <cfRule type="cellIs" dxfId="124" priority="129" operator="notEqual">
      <formula>""""""</formula>
    </cfRule>
  </conditionalFormatting>
  <conditionalFormatting sqref="S32:S33 AB32:AB33 AG32:AG33">
    <cfRule type="cellIs" dxfId="123" priority="127" operator="notEqual">
      <formula>""""""</formula>
    </cfRule>
  </conditionalFormatting>
  <conditionalFormatting sqref="AJ36:AJ37">
    <cfRule type="cellIs" dxfId="122" priority="126" operator="notEqual">
      <formula>""""""</formula>
    </cfRule>
  </conditionalFormatting>
  <conditionalFormatting sqref="S36:S37 AB36:AB37 AG36:AG37">
    <cfRule type="cellIs" dxfId="121" priority="125" operator="notEqual">
      <formula>""""""</formula>
    </cfRule>
  </conditionalFormatting>
  <conditionalFormatting sqref="AJ40:AJ41">
    <cfRule type="cellIs" dxfId="120" priority="124" operator="notEqual">
      <formula>""""""</formula>
    </cfRule>
  </conditionalFormatting>
  <conditionalFormatting sqref="S40:S41 AB40:AB41 AG40:AG41">
    <cfRule type="cellIs" dxfId="119" priority="123" operator="notEqual">
      <formula>""""""</formula>
    </cfRule>
  </conditionalFormatting>
  <conditionalFormatting sqref="AJ44:AJ45">
    <cfRule type="cellIs" dxfId="118" priority="122" operator="notEqual">
      <formula>""""""</formula>
    </cfRule>
  </conditionalFormatting>
  <conditionalFormatting sqref="S44:S45 AB44:AB45 AG44:AG45">
    <cfRule type="cellIs" dxfId="117" priority="121" operator="notEqual">
      <formula>""""""</formula>
    </cfRule>
  </conditionalFormatting>
  <conditionalFormatting sqref="AJ48:AJ49">
    <cfRule type="cellIs" dxfId="116" priority="120" operator="notEqual">
      <formula>""""""</formula>
    </cfRule>
  </conditionalFormatting>
  <conditionalFormatting sqref="S48:S49 AB48:AB49 AG48:AG49">
    <cfRule type="cellIs" dxfId="115" priority="119" operator="notEqual">
      <formula>""""""</formula>
    </cfRule>
  </conditionalFormatting>
  <conditionalFormatting sqref="S51:S53 AB51:AB53 AG51:AG53 AJ51:AJ53">
    <cfRule type="cellIs" dxfId="114" priority="100" operator="notEqual">
      <formula>""""""</formula>
    </cfRule>
  </conditionalFormatting>
  <conditionalFormatting sqref="AL51:AL53">
    <cfRule type="cellIs" dxfId="113" priority="99" operator="notEqual">
      <formula>""""""</formula>
    </cfRule>
  </conditionalFormatting>
  <conditionalFormatting sqref="S55:S57 AB55:AB57 AG55:AG57 AJ55:AJ57">
    <cfRule type="cellIs" dxfId="112" priority="98" operator="notEqual">
      <formula>""""""</formula>
    </cfRule>
  </conditionalFormatting>
  <conditionalFormatting sqref="AL55:AL57">
    <cfRule type="cellIs" dxfId="111" priority="97" operator="notEqual">
      <formula>""""""</formula>
    </cfRule>
  </conditionalFormatting>
  <conditionalFormatting sqref="S59:S61 AB59:AB61 AG59:AG61 AJ59:AJ61">
    <cfRule type="cellIs" dxfId="110" priority="96" operator="notEqual">
      <formula>""""""</formula>
    </cfRule>
  </conditionalFormatting>
  <conditionalFormatting sqref="AL59:AL61">
    <cfRule type="cellIs" dxfId="109" priority="95" operator="notEqual">
      <formula>""""""</formula>
    </cfRule>
  </conditionalFormatting>
  <conditionalFormatting sqref="S63:S65 AB63:AB65 AG63:AG65 AJ63:AJ65">
    <cfRule type="cellIs" dxfId="108" priority="94" operator="notEqual">
      <formula>""""""</formula>
    </cfRule>
  </conditionalFormatting>
  <conditionalFormatting sqref="AL63:AL65">
    <cfRule type="cellIs" dxfId="107" priority="93" operator="notEqual">
      <formula>""""""</formula>
    </cfRule>
  </conditionalFormatting>
  <conditionalFormatting sqref="S67:S69 AB67:AB69 AG67:AG69 AJ67:AJ69">
    <cfRule type="cellIs" dxfId="106" priority="92" operator="notEqual">
      <formula>""""""</formula>
    </cfRule>
  </conditionalFormatting>
  <conditionalFormatting sqref="AL67:AL69">
    <cfRule type="cellIs" dxfId="105" priority="91" operator="notEqual">
      <formula>""""""</formula>
    </cfRule>
  </conditionalFormatting>
  <conditionalFormatting sqref="S71:S73 AB71:AB73 AG71:AG73 AJ71:AJ73">
    <cfRule type="cellIs" dxfId="104" priority="90" operator="notEqual">
      <formula>""""""</formula>
    </cfRule>
  </conditionalFormatting>
  <conditionalFormatting sqref="AL71:AL73">
    <cfRule type="cellIs" dxfId="103" priority="89" operator="notEqual">
      <formula>""""""</formula>
    </cfRule>
  </conditionalFormatting>
  <conditionalFormatting sqref="S75:S77 AB75:AB77 AG75:AG77 AJ75:AJ77">
    <cfRule type="cellIs" dxfId="102" priority="88" operator="notEqual">
      <formula>""""""</formula>
    </cfRule>
  </conditionalFormatting>
  <conditionalFormatting sqref="AL75:AL77">
    <cfRule type="cellIs" dxfId="101" priority="87" operator="notEqual">
      <formula>""""""</formula>
    </cfRule>
  </conditionalFormatting>
  <conditionalFormatting sqref="S79:S81 AB79:AB81 AG79:AG81 AJ79:AJ81">
    <cfRule type="cellIs" dxfId="100" priority="86" operator="notEqual">
      <formula>""""""</formula>
    </cfRule>
  </conditionalFormatting>
  <conditionalFormatting sqref="AL79:AL81">
    <cfRule type="cellIs" dxfId="99"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98" priority="74" stopIfTrue="1" operator="notEqual">
      <formula>0</formula>
    </cfRule>
  </conditionalFormatting>
  <conditionalFormatting sqref="AH90:AI90 C90:R90 T90:AA90 AC90:AF90">
    <cfRule type="cellIs" dxfId="97" priority="73" stopIfTrue="1" operator="notEqual">
      <formula>0</formula>
    </cfRule>
  </conditionalFormatting>
  <conditionalFormatting sqref="S82 AB82 AG82 AJ82 AJ90 AG90 AB90 S90">
    <cfRule type="cellIs" dxfId="96" priority="72" operator="notEqual">
      <formula>""""""</formula>
    </cfRule>
  </conditionalFormatting>
  <conditionalFormatting sqref="AL82 AL90">
    <cfRule type="cellIs" dxfId="95" priority="71" operator="notEqual">
      <formula>""""""</formula>
    </cfRule>
  </conditionalFormatting>
  <conditionalFormatting sqref="S83:S85 AB83:AB85 AG83:AG85 AJ83:AJ85">
    <cfRule type="cellIs" dxfId="94" priority="70" operator="notEqual">
      <formula>""""""</formula>
    </cfRule>
  </conditionalFormatting>
  <conditionalFormatting sqref="AL83:AL85">
    <cfRule type="cellIs" dxfId="93" priority="69" operator="notEqual">
      <formula>""""""</formula>
    </cfRule>
  </conditionalFormatting>
  <conditionalFormatting sqref="S91:S93 AB91:AB93 AG91:AG93 AJ91:AJ93">
    <cfRule type="cellIs" dxfId="92" priority="68" operator="notEqual">
      <formula>""""""</formula>
    </cfRule>
  </conditionalFormatting>
  <conditionalFormatting sqref="AL91:AL93">
    <cfRule type="cellIs" dxfId="91" priority="67" operator="notEqual">
      <formula>""""""</formula>
    </cfRule>
  </conditionalFormatting>
  <conditionalFormatting sqref="AH94:AI94 C94:R94 T94:AA94 AC94:AF94">
    <cfRule type="cellIs" dxfId="90" priority="66" stopIfTrue="1" operator="notEqual">
      <formula>0</formula>
    </cfRule>
  </conditionalFormatting>
  <conditionalFormatting sqref="S94 AB94 AG94 AJ94">
    <cfRule type="cellIs" dxfId="89" priority="64" operator="notEqual">
      <formula>""""""</formula>
    </cfRule>
  </conditionalFormatting>
  <conditionalFormatting sqref="AL94">
    <cfRule type="cellIs" dxfId="88" priority="63" operator="notEqual">
      <formula>""""""</formula>
    </cfRule>
  </conditionalFormatting>
  <conditionalFormatting sqref="S95:S97 AB95:AB97 AG95:AG97 AJ95:AJ97">
    <cfRule type="cellIs" dxfId="87" priority="62" operator="notEqual">
      <formula>""""""</formula>
    </cfRule>
  </conditionalFormatting>
  <conditionalFormatting sqref="AL95:AL97">
    <cfRule type="cellIs" dxfId="86" priority="61" operator="notEqual">
      <formula>""""""</formula>
    </cfRule>
  </conditionalFormatting>
  <conditionalFormatting sqref="AH86:AI86 C86:R86 T86:AA86 AC86:AF86">
    <cfRule type="cellIs" dxfId="85" priority="30" stopIfTrue="1" operator="notEqual">
      <formula>0</formula>
    </cfRule>
  </conditionalFormatting>
  <conditionalFormatting sqref="S86 AB86 AG86 AJ86">
    <cfRule type="cellIs" dxfId="84" priority="29" operator="notEqual">
      <formula>""""""</formula>
    </cfRule>
  </conditionalFormatting>
  <conditionalFormatting sqref="AL86">
    <cfRule type="cellIs" dxfId="83" priority="28" operator="notEqual">
      <formula>""""""</formula>
    </cfRule>
  </conditionalFormatting>
  <conditionalFormatting sqref="S87:S89 AB87:AB89 AG87:AG89 AJ87:AJ89">
    <cfRule type="cellIs" dxfId="82" priority="27" operator="notEqual">
      <formula>""""""</formula>
    </cfRule>
  </conditionalFormatting>
  <conditionalFormatting sqref="AL87:AL89">
    <cfRule type="cellIs" dxfId="81"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N28" sqref="N28"/>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8"/>
      <c r="C2" s="89"/>
      <c r="D2" s="89"/>
      <c r="E2" s="89"/>
      <c r="F2" s="89"/>
      <c r="G2" s="89"/>
      <c r="H2" s="89"/>
      <c r="I2" s="89"/>
      <c r="Y2" s="88"/>
      <c r="Z2" s="88"/>
      <c r="AA2" s="94"/>
      <c r="AB2" s="94"/>
      <c r="AC2" s="94"/>
      <c r="AD2" s="94"/>
      <c r="AE2" s="94"/>
      <c r="AF2" s="94"/>
      <c r="AG2" s="94"/>
    </row>
    <row r="3" spans="1:36" ht="13.5" thickBot="1" x14ac:dyDescent="0.25">
      <c r="A3" s="74" t="s">
        <v>27</v>
      </c>
      <c r="B3" s="85" t="s">
        <v>39</v>
      </c>
      <c r="C3" s="83">
        <v>3</v>
      </c>
      <c r="D3" s="83">
        <v>1</v>
      </c>
      <c r="E3" s="83">
        <v>1</v>
      </c>
      <c r="F3" s="83">
        <v>3</v>
      </c>
      <c r="G3" s="83"/>
      <c r="H3" s="83"/>
      <c r="I3" s="83"/>
      <c r="J3" s="75">
        <f>IF(C3&gt;C4,1,0)+IF(D3&gt;D4,1,0)+IF(E3&gt;E4,1,0)+IF(F3&gt;F4,1,0)+IF(G3&gt;G4,1,0)+IF(H3&gt;H4,1,0)+IF(I3&gt;I4,1,0)</f>
        <v>0</v>
      </c>
      <c r="K3" s="13"/>
      <c r="M3" s="88"/>
      <c r="N3" s="88"/>
      <c r="O3" s="90"/>
      <c r="P3" s="90"/>
      <c r="Q3" s="90"/>
      <c r="R3" s="90"/>
      <c r="S3" s="90"/>
      <c r="T3" s="90"/>
      <c r="U3" s="90"/>
      <c r="Y3" s="88"/>
      <c r="Z3" s="88"/>
      <c r="AA3" s="94"/>
      <c r="AB3" s="94"/>
      <c r="AC3" s="94"/>
      <c r="AD3" s="94"/>
      <c r="AE3" s="94"/>
      <c r="AF3" s="94"/>
      <c r="AG3" s="94"/>
    </row>
    <row r="4" spans="1:36" x14ac:dyDescent="0.2">
      <c r="A4" s="74" t="s">
        <v>54</v>
      </c>
      <c r="B4" s="85" t="s">
        <v>55</v>
      </c>
      <c r="C4" s="83">
        <v>4</v>
      </c>
      <c r="D4" s="83">
        <v>5</v>
      </c>
      <c r="E4" s="83">
        <v>3</v>
      </c>
      <c r="F4" s="83">
        <v>7</v>
      </c>
      <c r="G4" s="83"/>
      <c r="H4" s="83"/>
      <c r="I4" s="83"/>
      <c r="J4" s="75">
        <f>IF(C4&gt;C3,1,0)+IF(D4&gt;D3,1,0)+IF(E4&gt;E3,1,0)+IF(F4&gt;F3,1,0)+IF(G4&gt;G3,1,0)+IF(H4&gt;H3,1,0)+IF(I4&gt;I3,1,0)</f>
        <v>4</v>
      </c>
      <c r="K4" s="14"/>
      <c r="L4" s="4"/>
      <c r="M4" s="88"/>
      <c r="N4" s="88"/>
      <c r="O4" s="90"/>
      <c r="P4" s="90"/>
      <c r="Q4" s="90"/>
      <c r="R4" s="90"/>
      <c r="S4" s="90"/>
      <c r="T4" s="90"/>
      <c r="U4" s="90"/>
      <c r="Y4" s="88"/>
      <c r="Z4" s="88"/>
      <c r="AA4" s="94"/>
      <c r="AB4" s="94"/>
      <c r="AC4" s="94"/>
      <c r="AD4" s="94"/>
      <c r="AE4" s="94"/>
      <c r="AF4" s="94"/>
      <c r="AG4" s="94"/>
    </row>
    <row r="5" spans="1:36" x14ac:dyDescent="0.2">
      <c r="A5" s="53"/>
      <c r="B5" s="88"/>
      <c r="C5" s="89"/>
      <c r="D5" s="89"/>
      <c r="E5" s="89"/>
      <c r="F5" s="89"/>
      <c r="G5" s="89"/>
      <c r="H5" s="89"/>
      <c r="I5" s="89"/>
      <c r="K5" s="14"/>
      <c r="L5" s="4"/>
      <c r="M5" s="88"/>
      <c r="N5" s="88"/>
      <c r="O5" s="90"/>
      <c r="P5" s="90"/>
      <c r="Q5" s="90"/>
      <c r="R5" s="90"/>
      <c r="S5" s="90"/>
      <c r="T5" s="90"/>
      <c r="U5" s="90"/>
      <c r="Y5" s="88"/>
      <c r="Z5" s="88"/>
      <c r="AA5" s="94"/>
      <c r="AB5" s="94"/>
      <c r="AC5" s="94"/>
      <c r="AD5" s="94"/>
      <c r="AE5" s="94"/>
      <c r="AF5" s="94"/>
      <c r="AG5" s="94"/>
    </row>
    <row r="6" spans="1:36" ht="13.5" thickBot="1" x14ac:dyDescent="0.25">
      <c r="A6" s="74" t="s">
        <v>28</v>
      </c>
      <c r="B6" s="85" t="s">
        <v>40</v>
      </c>
      <c r="C6" s="83">
        <v>1</v>
      </c>
      <c r="D6" s="83">
        <v>4</v>
      </c>
      <c r="E6" s="83">
        <v>2</v>
      </c>
      <c r="F6" s="83">
        <v>6</v>
      </c>
      <c r="G6" s="83">
        <v>1</v>
      </c>
      <c r="H6" s="83">
        <v>4</v>
      </c>
      <c r="I6" s="83">
        <v>5</v>
      </c>
      <c r="J6" s="75">
        <f>IF(C6&gt;C7,1,0)+IF(D6&gt;D7,1,0)+IF(E6&gt;E7,1,0)+IF(F6&gt;F7,1,0)+IF(G6&gt;G7,1,0)+IF(H6&gt;H7,1,0)+IF(I6&gt;I7,1,0)</f>
        <v>4</v>
      </c>
      <c r="K6" s="16"/>
      <c r="L6" s="13"/>
      <c r="M6" s="74" t="s">
        <v>28</v>
      </c>
      <c r="N6" s="85" t="s">
        <v>40</v>
      </c>
      <c r="O6" s="83"/>
      <c r="P6" s="83"/>
      <c r="Q6" s="83"/>
      <c r="R6" s="83"/>
      <c r="S6" s="83"/>
      <c r="T6" s="83"/>
      <c r="U6" s="83"/>
      <c r="V6" s="75">
        <f>IF(O6&gt;O7,1,0)+IF(P6&gt;P7,1,0)+IF(Q6&gt;Q7,1,0)+IF(R6&gt;R7,1,0)+IF(S6&gt;S7,1,0)+IF(T6&gt;T7,1,0)+IF(U6&gt;U7,1,0)</f>
        <v>0</v>
      </c>
      <c r="W6" s="13"/>
      <c r="Y6" s="88"/>
      <c r="Z6" s="88"/>
      <c r="AA6" s="94"/>
      <c r="AB6" s="94"/>
      <c r="AC6" s="94"/>
      <c r="AD6" s="94"/>
      <c r="AE6" s="94"/>
      <c r="AF6" s="94"/>
      <c r="AG6" s="94"/>
    </row>
    <row r="7" spans="1:36" x14ac:dyDescent="0.2">
      <c r="A7" s="74" t="s">
        <v>29</v>
      </c>
      <c r="B7" s="85" t="s">
        <v>41</v>
      </c>
      <c r="C7" s="83">
        <v>4</v>
      </c>
      <c r="D7" s="83">
        <v>1</v>
      </c>
      <c r="E7" s="83">
        <v>3</v>
      </c>
      <c r="F7" s="83">
        <v>4</v>
      </c>
      <c r="G7" s="83">
        <v>2</v>
      </c>
      <c r="H7" s="83">
        <v>2</v>
      </c>
      <c r="I7" s="83">
        <v>1</v>
      </c>
      <c r="J7" s="75">
        <f>IF(C7&gt;C6,1,0)+IF(D7&gt;D6,1,0)+IF(E7&gt;E6,1,0)+IF(F7&gt;F6,1,0)+IF(G7&gt;G6,1,0)+IF(H7&gt;H6,1,0)+IF(I7&gt;I6,1,0)</f>
        <v>3</v>
      </c>
      <c r="K7" s="55"/>
      <c r="L7" s="4"/>
      <c r="M7" s="74" t="s">
        <v>54</v>
      </c>
      <c r="N7" s="85" t="s">
        <v>55</v>
      </c>
      <c r="O7" s="83"/>
      <c r="P7" s="83"/>
      <c r="Q7" s="83"/>
      <c r="R7" s="83"/>
      <c r="S7" s="83"/>
      <c r="T7" s="83"/>
      <c r="U7" s="83"/>
      <c r="V7" s="75">
        <f>IF(O7&gt;O6,1,0)+IF(P7&gt;P6,1,0)+IF(Q7&gt;Q6,1,0)+IF(R7&gt;R6,1,0)+IF(S7&gt;S6,1,0)+IF(T7&gt;T6,1,0)+IF(U7&gt;U6,1,0)</f>
        <v>0</v>
      </c>
      <c r="W7" s="14"/>
      <c r="X7" s="4"/>
      <c r="Y7" s="88"/>
      <c r="Z7" s="88"/>
      <c r="AA7" s="94"/>
      <c r="AB7" s="94"/>
      <c r="AC7" s="94"/>
      <c r="AD7" s="94"/>
      <c r="AE7" s="94"/>
      <c r="AF7" s="94"/>
      <c r="AG7" s="94"/>
    </row>
    <row r="8" spans="1:36" ht="13.5" thickBot="1" x14ac:dyDescent="0.25">
      <c r="A8" s="53"/>
      <c r="B8" s="88"/>
      <c r="C8" s="89"/>
      <c r="D8" s="89"/>
      <c r="E8" s="89"/>
      <c r="F8" s="89"/>
      <c r="G8" s="89"/>
      <c r="H8" s="89"/>
      <c r="I8" s="89"/>
      <c r="K8" s="4"/>
      <c r="L8" s="4"/>
      <c r="M8" s="91"/>
      <c r="N8" s="88"/>
      <c r="O8" s="92"/>
      <c r="P8" s="92"/>
      <c r="Q8" s="92"/>
      <c r="R8" s="92"/>
      <c r="S8" s="92"/>
      <c r="T8" s="92"/>
      <c r="U8" s="92"/>
      <c r="V8" s="2"/>
      <c r="W8" s="14"/>
      <c r="X8" s="13"/>
      <c r="Y8" s="74" t="s">
        <v>62</v>
      </c>
      <c r="Z8" s="85" t="s">
        <v>62</v>
      </c>
      <c r="AA8" s="83"/>
      <c r="AB8" s="83"/>
      <c r="AC8" s="83"/>
      <c r="AD8" s="83"/>
      <c r="AE8" s="83"/>
      <c r="AF8" s="83"/>
      <c r="AG8" s="83"/>
      <c r="AH8" s="75">
        <f>IF(AA8&gt;AA9,1,0)+IF(AB8&gt;AB9,1,0)+IF(AC8&gt;AC9,1,0)+IF(AD8&gt;AD9,1,0)+IF(AE8&gt;AE9,1,0)+IF(AF8&gt;AF9,1,0)+IF(AG8&gt;AG9,1,0)</f>
        <v>0</v>
      </c>
      <c r="AI8" s="13"/>
      <c r="AJ8" s="13"/>
    </row>
    <row r="9" spans="1:36" x14ac:dyDescent="0.2">
      <c r="A9" s="53"/>
      <c r="B9" s="88"/>
      <c r="C9" s="89"/>
      <c r="D9" s="89"/>
      <c r="E9" s="89"/>
      <c r="F9" s="89"/>
      <c r="G9" s="89"/>
      <c r="H9" s="89"/>
      <c r="I9" s="89"/>
      <c r="K9" s="4"/>
      <c r="L9" s="4"/>
      <c r="M9" s="91"/>
      <c r="N9" s="88"/>
      <c r="O9" s="92"/>
      <c r="P9" s="92"/>
      <c r="Q9" s="92"/>
      <c r="R9" s="92"/>
      <c r="S9" s="92"/>
      <c r="T9" s="92"/>
      <c r="U9" s="92"/>
      <c r="V9" s="2"/>
      <c r="W9" s="14"/>
      <c r="X9" s="4"/>
      <c r="Y9" s="74" t="s">
        <v>62</v>
      </c>
      <c r="Z9" s="85" t="s">
        <v>62</v>
      </c>
      <c r="AA9" s="83"/>
      <c r="AB9" s="83"/>
      <c r="AC9" s="83"/>
      <c r="AD9" s="83"/>
      <c r="AE9" s="83"/>
      <c r="AF9" s="83"/>
      <c r="AG9" s="83"/>
      <c r="AH9" s="75">
        <f>IF(AA9&gt;AA8,1,0)+IF(AB9&gt;AB8,1,0)+IF(AC9&gt;AC8,1,0)+IF(AD9&gt;AD8,1,0)+IF(AE9&gt;AE8,1,0)+IF(AF9&gt;AF8,1,0)+IF(AG9&gt;AG8,1,0)</f>
        <v>0</v>
      </c>
      <c r="AI9" s="4"/>
      <c r="AJ9" s="14"/>
    </row>
    <row r="10" spans="1:36" ht="13.5" thickBot="1" x14ac:dyDescent="0.25">
      <c r="A10" s="74" t="s">
        <v>30</v>
      </c>
      <c r="B10" s="85" t="s">
        <v>42</v>
      </c>
      <c r="C10" s="83">
        <v>4</v>
      </c>
      <c r="D10" s="83">
        <v>4</v>
      </c>
      <c r="E10" s="83"/>
      <c r="F10" s="83">
        <v>1</v>
      </c>
      <c r="G10" s="84">
        <v>6</v>
      </c>
      <c r="H10" s="83">
        <v>2</v>
      </c>
      <c r="I10" s="84">
        <v>3</v>
      </c>
      <c r="J10" s="75">
        <f>IF(C10&gt;C11,1,0)+IF(D10&gt;D11,1,0)+IF(E10&gt;E11,1,0)+IF(F10&gt;F11,1,0)+IF(G10&gt;G11,1,0)+IF(H10&gt;H11,1,0)+IF(I10&gt;I11,1,0)</f>
        <v>3</v>
      </c>
      <c r="K10" s="13"/>
      <c r="L10" s="13"/>
      <c r="M10" s="74" t="s">
        <v>31</v>
      </c>
      <c r="N10" s="85" t="s">
        <v>58</v>
      </c>
      <c r="O10" s="83"/>
      <c r="P10" s="83"/>
      <c r="Q10" s="83"/>
      <c r="R10" s="83"/>
      <c r="S10" s="83"/>
      <c r="T10" s="83"/>
      <c r="U10" s="83"/>
      <c r="V10" s="75">
        <f>IF(O10&gt;O11,1,0)+IF(P10&gt;P11,1,0)+IF(Q10&gt;Q11,1,0)+IF(R10&gt;R11,1,0)+IF(S10&gt;S11,1,0)+IF(T10&gt;T11,1,0)+IF(U10&gt;U11,1,0)</f>
        <v>0</v>
      </c>
      <c r="W10" s="16"/>
      <c r="X10" s="4"/>
      <c r="Y10" s="95"/>
      <c r="Z10" s="88"/>
      <c r="AA10" s="94"/>
      <c r="AB10" s="94"/>
      <c r="AC10" s="94"/>
      <c r="AD10" s="94"/>
      <c r="AE10" s="94"/>
      <c r="AF10" s="94"/>
      <c r="AG10" s="94"/>
      <c r="AI10" s="4"/>
      <c r="AJ10" s="14"/>
    </row>
    <row r="11" spans="1:36" x14ac:dyDescent="0.2">
      <c r="A11" s="74" t="s">
        <v>56</v>
      </c>
      <c r="B11" s="85" t="s">
        <v>57</v>
      </c>
      <c r="C11" s="83">
        <v>2</v>
      </c>
      <c r="D11" s="83">
        <v>3</v>
      </c>
      <c r="E11" s="83">
        <v>5</v>
      </c>
      <c r="F11" s="83">
        <v>2</v>
      </c>
      <c r="G11" s="84">
        <v>0</v>
      </c>
      <c r="H11" s="83">
        <v>5</v>
      </c>
      <c r="I11" s="84">
        <v>4</v>
      </c>
      <c r="J11" s="75">
        <f>IF(C11&gt;C10,1,0)+IF(D11&gt;D10,1,0)+IF(E11&gt;E10,1,0)+IF(F11&gt;F10,1,0)+IF(G11&gt;G10,1,0)+IF(H11&gt;H10,1,0)+IF(I11&gt;I10,1,0)</f>
        <v>4</v>
      </c>
      <c r="K11" s="14"/>
      <c r="L11" s="4"/>
      <c r="M11" s="74" t="s">
        <v>56</v>
      </c>
      <c r="N11" s="85" t="s">
        <v>57</v>
      </c>
      <c r="O11" s="83"/>
      <c r="P11" s="83"/>
      <c r="Q11" s="83"/>
      <c r="R11" s="83"/>
      <c r="S11" s="83"/>
      <c r="T11" s="83"/>
      <c r="U11" s="83"/>
      <c r="V11" s="75">
        <f>IF(O11&gt;O10,1,0)+IF(P11&gt;P10,1,0)+IF(Q11&gt;Q10,1,0)+IF(R11&gt;R10,1,0)+IF(S11&gt;S10,1,0)+IF(T11&gt;T10,1,0)+IF(U11&gt;U10,1,0)</f>
        <v>0</v>
      </c>
      <c r="Y11" s="95"/>
      <c r="Z11" s="88"/>
      <c r="AA11" s="94"/>
      <c r="AB11" s="94"/>
      <c r="AC11" s="94"/>
      <c r="AD11" s="94"/>
      <c r="AE11" s="94"/>
      <c r="AF11" s="94"/>
      <c r="AG11" s="94"/>
      <c r="AI11" s="4"/>
      <c r="AJ11" s="14"/>
    </row>
    <row r="12" spans="1:36" x14ac:dyDescent="0.2">
      <c r="A12" s="53"/>
      <c r="B12" s="88"/>
      <c r="C12" s="89"/>
      <c r="D12" s="89"/>
      <c r="E12" s="89">
        <v>0</v>
      </c>
      <c r="F12" s="89"/>
      <c r="G12" s="89"/>
      <c r="H12" s="89"/>
      <c r="I12" s="89"/>
      <c r="K12" s="14"/>
      <c r="L12" s="4"/>
      <c r="M12" s="88"/>
      <c r="N12" s="88"/>
      <c r="O12" s="90"/>
      <c r="P12" s="90"/>
      <c r="Q12" s="90"/>
      <c r="R12" s="90"/>
      <c r="S12" s="90"/>
      <c r="T12" s="90"/>
      <c r="U12" s="90"/>
      <c r="Y12" s="95"/>
      <c r="Z12" s="88"/>
      <c r="AA12" s="94"/>
      <c r="AB12" s="94"/>
      <c r="AC12" s="94"/>
      <c r="AD12" s="94"/>
      <c r="AE12" s="94"/>
      <c r="AF12" s="94"/>
      <c r="AG12" s="94"/>
      <c r="AI12" s="4"/>
      <c r="AJ12" s="14"/>
    </row>
    <row r="13" spans="1:36" ht="13.5" thickBot="1" x14ac:dyDescent="0.25">
      <c r="A13" s="74" t="s">
        <v>31</v>
      </c>
      <c r="B13" s="85" t="s">
        <v>58</v>
      </c>
      <c r="C13" s="83">
        <v>4</v>
      </c>
      <c r="D13" s="84">
        <v>3</v>
      </c>
      <c r="E13" s="83">
        <v>4</v>
      </c>
      <c r="F13" s="83">
        <v>3</v>
      </c>
      <c r="G13" s="84"/>
      <c r="H13" s="84"/>
      <c r="I13" s="84"/>
      <c r="J13" s="75">
        <f>IF(C13&gt;C14,1,0)+IF(D13&gt;D14,1,0)+IF(E13&gt;E14,1,0)+IF(F13&gt;F14,1,0)+IF(G13&gt;G14,1,0)+IF(H13&gt;H14,1,0)+IF(I13&gt;I14,1,0)</f>
        <v>4</v>
      </c>
      <c r="K13" s="16"/>
      <c r="L13" s="4"/>
      <c r="M13" s="88"/>
      <c r="N13" s="88"/>
      <c r="O13" s="90"/>
      <c r="P13" s="90"/>
      <c r="Q13" s="90"/>
      <c r="R13" s="90"/>
      <c r="S13" s="90"/>
      <c r="T13" s="90"/>
      <c r="U13" s="90"/>
      <c r="X13" s="4"/>
      <c r="Y13" s="96"/>
      <c r="Z13" s="88"/>
      <c r="AA13" s="94"/>
      <c r="AB13" s="94"/>
      <c r="AC13" s="94"/>
      <c r="AD13" s="94"/>
      <c r="AE13" s="94"/>
      <c r="AF13" s="94"/>
      <c r="AG13" s="94"/>
      <c r="AI13" s="4"/>
      <c r="AJ13" s="14"/>
    </row>
    <row r="14" spans="1:36" x14ac:dyDescent="0.2">
      <c r="A14" s="74" t="s">
        <v>32</v>
      </c>
      <c r="B14" s="85" t="s">
        <v>43</v>
      </c>
      <c r="C14" s="83">
        <v>3</v>
      </c>
      <c r="D14" s="84">
        <v>1</v>
      </c>
      <c r="E14" s="83">
        <v>1</v>
      </c>
      <c r="F14" s="83">
        <v>1</v>
      </c>
      <c r="G14" s="84"/>
      <c r="H14" s="84"/>
      <c r="I14" s="84"/>
      <c r="J14" s="75">
        <f>IF(C14&gt;C13,1,0)+IF(D14&gt;D13,1,0)+IF(E14&gt;E13,1,0)+IF(F14&gt;F13,1,0)+IF(G14&gt;G13,1,0)+IF(H14&gt;H13,1,0)+IF(I14&gt;I13,1,0)</f>
        <v>0</v>
      </c>
      <c r="M14" s="88"/>
      <c r="N14" s="88"/>
      <c r="O14" s="90"/>
      <c r="P14" s="90"/>
      <c r="Q14" s="90"/>
      <c r="R14" s="90"/>
      <c r="S14" s="90"/>
      <c r="T14" s="90"/>
      <c r="U14" s="90"/>
      <c r="X14" s="5"/>
      <c r="Y14" s="97"/>
      <c r="Z14" s="97"/>
      <c r="AA14" s="97"/>
      <c r="AB14" s="97"/>
      <c r="AC14" s="97"/>
      <c r="AD14" s="97"/>
      <c r="AE14" s="97"/>
      <c r="AF14" s="97"/>
      <c r="AG14" s="97"/>
      <c r="AH14" s="6"/>
      <c r="AI14" s="7"/>
      <c r="AJ14" s="14"/>
    </row>
    <row r="15" spans="1:36" ht="13.5" thickBot="1" x14ac:dyDescent="0.25">
      <c r="A15" s="53"/>
      <c r="B15" s="88"/>
      <c r="C15" s="89"/>
      <c r="D15" s="89"/>
      <c r="E15" s="89"/>
      <c r="F15" s="89"/>
      <c r="G15" s="89"/>
      <c r="H15" s="89"/>
      <c r="I15" s="89"/>
      <c r="M15" s="88"/>
      <c r="N15" s="88"/>
      <c r="O15" s="90"/>
      <c r="P15" s="90"/>
      <c r="Q15" s="90"/>
      <c r="R15" s="90"/>
      <c r="S15" s="90"/>
      <c r="T15" s="90"/>
      <c r="U15" s="90"/>
      <c r="X15" s="12"/>
      <c r="Y15" s="74" t="s">
        <v>62</v>
      </c>
      <c r="Z15" s="85" t="s">
        <v>62</v>
      </c>
      <c r="AA15" s="83"/>
      <c r="AB15" s="83"/>
      <c r="AC15" s="83"/>
      <c r="AD15" s="83"/>
      <c r="AE15" s="83"/>
      <c r="AF15" s="83"/>
      <c r="AG15" s="83"/>
      <c r="AH15" s="75">
        <f>IF(AA15&gt;AA16,1,0)+IF(AB15&gt;AB16,1,0)+IF(AC15&gt;AC16,1,0)+IF(AD15&gt;AD16,1,0)+IF(AE15&gt;AE16,1,0)+IF(AF15&gt;AF16,1,0)+IF(AG15&gt;AG16,1,0)</f>
        <v>0</v>
      </c>
      <c r="AI15" s="8"/>
      <c r="AJ15" s="15"/>
    </row>
    <row r="16" spans="1:36" x14ac:dyDescent="0.2">
      <c r="A16" s="53"/>
      <c r="B16" s="88"/>
      <c r="C16" s="89"/>
      <c r="D16" s="89"/>
      <c r="E16" s="89"/>
      <c r="F16" s="89"/>
      <c r="G16" s="89"/>
      <c r="H16" s="89"/>
      <c r="I16" s="89"/>
      <c r="M16" s="88"/>
      <c r="N16" s="88"/>
      <c r="O16" s="90"/>
      <c r="P16" s="90"/>
      <c r="Q16" s="90"/>
      <c r="R16" s="90"/>
      <c r="S16" s="90"/>
      <c r="T16" s="90"/>
      <c r="U16" s="90"/>
      <c r="X16" s="12"/>
      <c r="Y16" s="74" t="s">
        <v>62</v>
      </c>
      <c r="Z16" s="85" t="s">
        <v>62</v>
      </c>
      <c r="AA16" s="83"/>
      <c r="AB16" s="83"/>
      <c r="AC16" s="83"/>
      <c r="AD16" s="83"/>
      <c r="AE16" s="83"/>
      <c r="AF16" s="83"/>
      <c r="AG16" s="83"/>
      <c r="AH16" s="75">
        <f>IF(AA16&gt;AA15,1,0)+IF(AB16&gt;AB15,1,0)+IF(AC16&gt;AC15,1,0)+IF(AD16&gt;AD15,1,0)+IF(AE16&gt;AE15,1,0)+IF(AF16&gt;AF15,1,0)+IF(AG16&gt;AG15,1,0)</f>
        <v>0</v>
      </c>
      <c r="AI16" s="8"/>
      <c r="AJ16" s="14"/>
    </row>
    <row r="17" spans="1:36" ht="13.5" thickBot="1" x14ac:dyDescent="0.25">
      <c r="A17" s="74" t="s">
        <v>36</v>
      </c>
      <c r="B17" s="85" t="s">
        <v>59</v>
      </c>
      <c r="C17" s="83">
        <v>4</v>
      </c>
      <c r="D17" s="84">
        <v>2</v>
      </c>
      <c r="E17" s="83">
        <v>2</v>
      </c>
      <c r="F17" s="84">
        <v>2</v>
      </c>
      <c r="G17" s="83">
        <v>1</v>
      </c>
      <c r="H17" s="83"/>
      <c r="I17" s="83"/>
      <c r="J17" s="75">
        <f>IF(C17&gt;C18,1,0)+IF(D17&gt;D18,1,0)+IF(E17&gt;E18,1,0)+IF(F17&gt;F18,1,0)+IF(G17&gt;G18,1,0)+IF(H17&gt;H18,1,0)+IF(I17&gt;I18,1,0)</f>
        <v>1</v>
      </c>
      <c r="K17" s="13"/>
      <c r="M17" s="88"/>
      <c r="N17" s="88"/>
      <c r="O17" s="90"/>
      <c r="P17" s="90"/>
      <c r="Q17" s="93"/>
      <c r="R17" s="90"/>
      <c r="S17" s="90"/>
      <c r="T17" s="90"/>
      <c r="U17" s="90"/>
      <c r="X17" s="10"/>
      <c r="Y17" s="98"/>
      <c r="Z17" s="98"/>
      <c r="AA17" s="98"/>
      <c r="AB17" s="98"/>
      <c r="AC17" s="98"/>
      <c r="AD17" s="98"/>
      <c r="AE17" s="98"/>
      <c r="AF17" s="98"/>
      <c r="AG17" s="98"/>
      <c r="AH17" s="11"/>
      <c r="AI17" s="9"/>
      <c r="AJ17" s="14"/>
    </row>
    <row r="18" spans="1:36" x14ac:dyDescent="0.2">
      <c r="A18" s="74" t="s">
        <v>54</v>
      </c>
      <c r="B18" s="85" t="s">
        <v>45</v>
      </c>
      <c r="C18" s="83">
        <v>0</v>
      </c>
      <c r="D18" s="84">
        <v>3</v>
      </c>
      <c r="E18" s="83">
        <v>6</v>
      </c>
      <c r="F18" s="84">
        <v>3</v>
      </c>
      <c r="G18" s="83">
        <v>5</v>
      </c>
      <c r="H18" s="83"/>
      <c r="I18" s="83"/>
      <c r="J18" s="75">
        <f>IF(C18&gt;C17,1,0)+IF(D18&gt;D17,1,0)+IF(E18&gt;E17,1,0)+IF(F18&gt;F17,1,0)+IF(G18&gt;G17,1,0)+IF(H18&gt;H17,1,0)+IF(I18&gt;I17,1,0)</f>
        <v>4</v>
      </c>
      <c r="K18" s="14"/>
      <c r="L18" s="4"/>
      <c r="M18" s="88"/>
      <c r="N18" s="88"/>
      <c r="O18" s="90"/>
      <c r="P18" s="90"/>
      <c r="Q18" s="90"/>
      <c r="R18" s="90"/>
      <c r="S18" s="90"/>
      <c r="T18" s="90"/>
      <c r="U18" s="90"/>
      <c r="Y18" s="99"/>
      <c r="Z18" s="88"/>
      <c r="AA18" s="94"/>
      <c r="AB18" s="94"/>
      <c r="AC18" s="94"/>
      <c r="AD18" s="94"/>
      <c r="AE18" s="94"/>
      <c r="AF18" s="94"/>
      <c r="AG18" s="94"/>
      <c r="AI18" s="4"/>
      <c r="AJ18" s="14"/>
    </row>
    <row r="19" spans="1:36" x14ac:dyDescent="0.2">
      <c r="A19" s="53"/>
      <c r="B19" s="88"/>
      <c r="C19" s="89"/>
      <c r="D19" s="89"/>
      <c r="E19" s="89"/>
      <c r="F19" s="89"/>
      <c r="G19" s="89"/>
      <c r="H19" s="89"/>
      <c r="I19" s="89"/>
      <c r="K19" s="14"/>
      <c r="L19" s="4"/>
      <c r="M19" s="88"/>
      <c r="N19" s="88"/>
      <c r="O19" s="90"/>
      <c r="P19" s="90"/>
      <c r="Q19" s="90"/>
      <c r="R19" s="90"/>
      <c r="S19" s="90"/>
      <c r="T19" s="90"/>
      <c r="U19" s="90"/>
      <c r="Y19" s="95"/>
      <c r="Z19" s="88"/>
      <c r="AA19" s="94"/>
      <c r="AB19" s="94"/>
      <c r="AC19" s="94"/>
      <c r="AD19" s="94"/>
      <c r="AE19" s="94"/>
      <c r="AF19" s="94"/>
      <c r="AG19" s="94"/>
      <c r="AI19" s="4"/>
      <c r="AJ19" s="14"/>
    </row>
    <row r="20" spans="1:36" ht="13.5" thickBot="1" x14ac:dyDescent="0.25">
      <c r="A20" s="74" t="s">
        <v>37</v>
      </c>
      <c r="B20" s="85" t="s">
        <v>46</v>
      </c>
      <c r="C20" s="83">
        <v>1</v>
      </c>
      <c r="D20" s="83">
        <v>3</v>
      </c>
      <c r="E20" s="83">
        <v>6</v>
      </c>
      <c r="F20" s="83">
        <v>2</v>
      </c>
      <c r="G20" s="83">
        <v>2</v>
      </c>
      <c r="H20" s="83">
        <v>2</v>
      </c>
      <c r="I20" s="84"/>
      <c r="J20" s="75">
        <f>IF(C20&gt;C21,1,0)+IF(D20&gt;D21,1,0)+IF(E20&gt;E21,1,0)+IF(F20&gt;F21,1,0)+IF(G20&gt;G21,1,0)+IF(H20&gt;H21,1,0)+IF(I20&gt;I21,1,0)</f>
        <v>2</v>
      </c>
      <c r="K20" s="16"/>
      <c r="L20" s="13"/>
      <c r="M20" s="74" t="s">
        <v>34</v>
      </c>
      <c r="N20" s="85" t="s">
        <v>48</v>
      </c>
      <c r="O20" s="83"/>
      <c r="P20" s="83"/>
      <c r="Q20" s="83"/>
      <c r="R20" s="83"/>
      <c r="S20" s="83"/>
      <c r="T20" s="83"/>
      <c r="U20" s="83"/>
      <c r="V20" s="75">
        <f>IF(O20&gt;O21,1,0)+IF(P20&gt;P21,1,0)+IF(Q20&gt;Q21,1,0)+IF(R20&gt;R21,1,0)+IF(S20&gt;S21,1,0)+IF(T20&gt;T21,1,0)+IF(U20&gt;U21,1,0)</f>
        <v>0</v>
      </c>
      <c r="W20" s="13"/>
      <c r="Y20" s="95"/>
      <c r="Z20" s="88"/>
      <c r="AA20" s="94"/>
      <c r="AB20" s="94"/>
      <c r="AC20" s="94"/>
      <c r="AD20" s="94"/>
      <c r="AE20" s="94"/>
      <c r="AF20" s="94"/>
      <c r="AG20" s="94"/>
      <c r="AI20" s="4"/>
      <c r="AJ20" s="14"/>
    </row>
    <row r="21" spans="1:36" x14ac:dyDescent="0.2">
      <c r="A21" s="74" t="s">
        <v>38</v>
      </c>
      <c r="B21" s="85" t="s">
        <v>60</v>
      </c>
      <c r="C21" s="83">
        <v>2</v>
      </c>
      <c r="D21" s="83">
        <v>4</v>
      </c>
      <c r="E21" s="83">
        <v>3</v>
      </c>
      <c r="F21" s="83">
        <v>1</v>
      </c>
      <c r="G21" s="83">
        <v>3</v>
      </c>
      <c r="H21" s="83">
        <v>3</v>
      </c>
      <c r="I21" s="84"/>
      <c r="J21" s="75">
        <f>IF(C21&gt;C20,1,0)+IF(D21&gt;D20,1,0)+IF(E21&gt;E20,1,0)+IF(F21&gt;F20,1,0)+IF(G21&gt;G20,1,0)+IF(H21&gt;H20,1,0)+IF(I21&gt;I20,1,0)</f>
        <v>4</v>
      </c>
      <c r="K21" s="55"/>
      <c r="L21" s="4"/>
      <c r="M21" s="74" t="s">
        <v>54</v>
      </c>
      <c r="N21" s="85" t="s">
        <v>45</v>
      </c>
      <c r="O21" s="83"/>
      <c r="P21" s="83"/>
      <c r="Q21" s="83"/>
      <c r="R21" s="83"/>
      <c r="S21" s="83"/>
      <c r="T21" s="83"/>
      <c r="U21" s="83"/>
      <c r="V21" s="75">
        <f>IF(O21&gt;O20,1,0)+IF(P21&gt;P20,1,0)+IF(Q21&gt;Q20,1,0)+IF(R21&gt;R20,1,0)+IF(S21&gt;S20,1,0)+IF(T21&gt;T20,1,0)+IF(U21&gt;U20,1,0)</f>
        <v>0</v>
      </c>
      <c r="W21" s="14"/>
      <c r="X21" s="4"/>
      <c r="Y21" s="95"/>
      <c r="Z21" s="88"/>
      <c r="AA21" s="94"/>
      <c r="AB21" s="94"/>
      <c r="AC21" s="94"/>
      <c r="AD21" s="94"/>
      <c r="AE21" s="94"/>
      <c r="AF21" s="94"/>
      <c r="AG21" s="94"/>
      <c r="AI21" s="4"/>
      <c r="AJ21" s="14"/>
    </row>
    <row r="22" spans="1:36" ht="13.5" thickBot="1" x14ac:dyDescent="0.25">
      <c r="A22" s="53"/>
      <c r="B22" s="88"/>
      <c r="C22" s="89"/>
      <c r="D22" s="89"/>
      <c r="E22" s="89"/>
      <c r="F22" s="89"/>
      <c r="G22" s="89"/>
      <c r="H22" s="89"/>
      <c r="I22" s="89"/>
      <c r="K22" s="4"/>
      <c r="L22" s="4"/>
      <c r="M22" s="91"/>
      <c r="N22" s="88"/>
      <c r="O22" s="92"/>
      <c r="P22" s="92"/>
      <c r="Q22" s="92"/>
      <c r="R22" s="92"/>
      <c r="S22" s="92"/>
      <c r="T22" s="92"/>
      <c r="U22" s="92"/>
      <c r="V22" s="2"/>
      <c r="W22" s="14"/>
      <c r="X22" s="13"/>
      <c r="Y22" s="74" t="s">
        <v>62</v>
      </c>
      <c r="Z22" s="85" t="s">
        <v>63</v>
      </c>
      <c r="AA22" s="83"/>
      <c r="AB22" s="83"/>
      <c r="AC22" s="83"/>
      <c r="AD22" s="83"/>
      <c r="AE22" s="83"/>
      <c r="AF22" s="83"/>
      <c r="AG22" s="83"/>
      <c r="AH22" s="75">
        <f>IF(AA22&gt;AA23,1,0)+IF(AB22&gt;AB23,1,0)+IF(AC22&gt;AC23,1,0)+IF(AD22&gt;AD23,1,0)+IF(AE22&gt;AE23,1,0)+IF(AF22&gt;AF23,1,0)+IF(AG22&gt;AG23,1,0)</f>
        <v>0</v>
      </c>
      <c r="AI22" s="13"/>
      <c r="AJ22" s="16"/>
    </row>
    <row r="23" spans="1:36" x14ac:dyDescent="0.2">
      <c r="A23" s="53"/>
      <c r="B23" s="88"/>
      <c r="C23" s="89"/>
      <c r="D23" s="89"/>
      <c r="E23" s="89"/>
      <c r="F23" s="89"/>
      <c r="G23" s="89"/>
      <c r="H23" s="89"/>
      <c r="I23" s="89"/>
      <c r="K23" s="4"/>
      <c r="L23" s="4"/>
      <c r="M23" s="91"/>
      <c r="N23" s="88"/>
      <c r="O23" s="92"/>
      <c r="P23" s="92"/>
      <c r="Q23" s="92"/>
      <c r="R23" s="92"/>
      <c r="S23" s="92"/>
      <c r="T23" s="92"/>
      <c r="U23" s="92"/>
      <c r="V23" s="2"/>
      <c r="W23" s="14"/>
      <c r="X23" s="4"/>
      <c r="Y23" s="74" t="s">
        <v>63</v>
      </c>
      <c r="Z23" s="85" t="s">
        <v>62</v>
      </c>
      <c r="AA23" s="83"/>
      <c r="AB23" s="83"/>
      <c r="AC23" s="83"/>
      <c r="AD23" s="83"/>
      <c r="AE23" s="83"/>
      <c r="AF23" s="83"/>
      <c r="AG23" s="83"/>
      <c r="AH23" s="75">
        <f>IF(AA23&gt;AA22,1,0)+IF(AB23&gt;AB22,1,0)+IF(AC23&gt;AC22,1,0)+IF(AD23&gt;AD22,1,0)+IF(AE23&gt;AE22,1,0)+IF(AF23&gt;AF22,1,0)+IF(AG23&gt;AG22,1,0)</f>
        <v>0</v>
      </c>
    </row>
    <row r="24" spans="1:36" ht="13.5" thickBot="1" x14ac:dyDescent="0.25">
      <c r="A24" s="74" t="s">
        <v>33</v>
      </c>
      <c r="B24" s="85" t="s">
        <v>44</v>
      </c>
      <c r="C24" s="83">
        <v>2</v>
      </c>
      <c r="D24" s="83">
        <v>2</v>
      </c>
      <c r="E24" s="83">
        <v>3</v>
      </c>
      <c r="F24" s="83">
        <v>1</v>
      </c>
      <c r="G24" s="83">
        <v>3</v>
      </c>
      <c r="H24" s="83">
        <v>2</v>
      </c>
      <c r="I24" s="84"/>
      <c r="J24" s="75">
        <f>IF(C24&gt;C25,1,0)+IF(D24&gt;D25,1,0)+IF(E24&gt;E25,1,0)+IF(F24&gt;F25,1,0)+IF(G24&gt;G25,1,0)+IF(H24&gt;H25,1,0)+IF(I24&gt;I25,1,0)</f>
        <v>2</v>
      </c>
      <c r="K24" s="13"/>
      <c r="L24" s="13"/>
      <c r="M24" s="74" t="s">
        <v>38</v>
      </c>
      <c r="N24" s="85" t="s">
        <v>60</v>
      </c>
      <c r="O24" s="83"/>
      <c r="P24" s="84"/>
      <c r="Q24" s="84"/>
      <c r="R24" s="84"/>
      <c r="S24" s="84"/>
      <c r="T24" s="84"/>
      <c r="U24" s="83"/>
      <c r="V24" s="75">
        <f>IF(O24&gt;O25,1,0)+IF(P24&gt;P25,1,0)+IF(Q24&gt;Q25,1,0)+IF(R24&gt;R25,1,0)+IF(S24&gt;S25,1,0)+IF(T24&gt;T25,1,0)+IF(U24&gt;U25,1,0)</f>
        <v>0</v>
      </c>
      <c r="W24" s="16"/>
      <c r="X24" s="4"/>
      <c r="Y24" s="88"/>
      <c r="Z24" s="88"/>
      <c r="AA24" s="94"/>
      <c r="AB24" s="94"/>
      <c r="AC24" s="94"/>
      <c r="AD24" s="94"/>
      <c r="AE24" s="94"/>
      <c r="AF24" s="94"/>
      <c r="AG24" s="94"/>
    </row>
    <row r="25" spans="1:36" x14ac:dyDescent="0.2">
      <c r="A25" s="74" t="s">
        <v>56</v>
      </c>
      <c r="B25" s="85" t="s">
        <v>61</v>
      </c>
      <c r="C25" s="83">
        <v>3</v>
      </c>
      <c r="D25" s="83">
        <v>1</v>
      </c>
      <c r="E25" s="83">
        <v>2</v>
      </c>
      <c r="F25" s="83">
        <v>5</v>
      </c>
      <c r="G25" s="83">
        <v>5</v>
      </c>
      <c r="H25" s="83">
        <v>4</v>
      </c>
      <c r="I25" s="84"/>
      <c r="J25" s="75">
        <f>IF(C25&gt;C24,1,0)+IF(D25&gt;D24,1,0)+IF(E25&gt;E24,1,0)+IF(F25&gt;F24,1,0)+IF(G25&gt;G24,1,0)+IF(H25&gt;H24,1,0)+IF(I25&gt;I24,1,0)</f>
        <v>4</v>
      </c>
      <c r="K25" s="14"/>
      <c r="L25" s="4"/>
      <c r="M25" s="74" t="s">
        <v>56</v>
      </c>
      <c r="N25" s="85" t="s">
        <v>61</v>
      </c>
      <c r="O25" s="83"/>
      <c r="P25" s="84"/>
      <c r="Q25" s="84"/>
      <c r="R25" s="84"/>
      <c r="S25" s="84"/>
      <c r="T25" s="84"/>
      <c r="U25" s="83"/>
      <c r="V25" s="75">
        <f>IF(O25&gt;O24,1,0)+IF(P25&gt;P24,1,0)+IF(Q25&gt;Q24,1,0)+IF(R25&gt;R24,1,0)+IF(S25&gt;S24,1,0)+IF(T25&gt;T24,1,0)+IF(U25&gt;U24,1,0)</f>
        <v>0</v>
      </c>
      <c r="Y25" s="88"/>
      <c r="Z25" s="88"/>
      <c r="AA25" s="94"/>
      <c r="AB25" s="94"/>
      <c r="AC25" s="94"/>
      <c r="AD25" s="94"/>
      <c r="AE25" s="94"/>
      <c r="AF25" s="94"/>
      <c r="AG25" s="94"/>
    </row>
    <row r="26" spans="1:36" x14ac:dyDescent="0.2">
      <c r="A26" s="53"/>
      <c r="B26" s="88"/>
      <c r="C26" s="89"/>
      <c r="D26" s="89"/>
      <c r="E26" s="89"/>
      <c r="F26" s="89"/>
      <c r="G26" s="89"/>
      <c r="H26" s="89"/>
      <c r="I26" s="89"/>
      <c r="K26" s="14"/>
      <c r="L26" s="4"/>
      <c r="M26" s="88"/>
      <c r="N26" s="88"/>
      <c r="O26" s="90"/>
      <c r="P26" s="90"/>
      <c r="Q26" s="90"/>
      <c r="R26" s="90"/>
      <c r="S26" s="90"/>
      <c r="T26" s="90"/>
      <c r="U26" s="90"/>
      <c r="Y26" s="88"/>
      <c r="Z26" s="88"/>
      <c r="AA26" s="94"/>
      <c r="AB26" s="94"/>
      <c r="AC26" s="94"/>
      <c r="AD26" s="94"/>
      <c r="AE26" s="94"/>
      <c r="AF26" s="94"/>
      <c r="AG26" s="94"/>
    </row>
    <row r="27" spans="1:36" ht="13.5" thickBot="1" x14ac:dyDescent="0.25">
      <c r="A27" s="74" t="s">
        <v>34</v>
      </c>
      <c r="B27" s="85" t="s">
        <v>48</v>
      </c>
      <c r="C27" s="83">
        <v>5</v>
      </c>
      <c r="D27" s="83">
        <v>3</v>
      </c>
      <c r="E27" s="84">
        <v>3</v>
      </c>
      <c r="F27" s="84">
        <v>0</v>
      </c>
      <c r="G27" s="83">
        <v>5</v>
      </c>
      <c r="H27" s="84">
        <v>2</v>
      </c>
      <c r="I27" s="83">
        <v>5</v>
      </c>
      <c r="J27" s="75">
        <f>IF(C27&gt;C28,1,0)+IF(D27&gt;D28,1,0)+IF(E27&gt;E28,1,0)+IF(F27&gt;F28,1,0)+IF(G27&gt;G28,1,0)+IF(H27&gt;H28,1,0)+IF(I27&gt;I28,1,0)</f>
        <v>4</v>
      </c>
      <c r="K27" s="16"/>
      <c r="L27" s="4"/>
      <c r="M27" s="88"/>
      <c r="N27" s="88"/>
      <c r="O27" s="90"/>
      <c r="P27" s="90"/>
      <c r="Q27" s="90"/>
      <c r="R27" s="90"/>
      <c r="S27" s="90"/>
      <c r="T27" s="90"/>
      <c r="U27" s="90"/>
      <c r="Y27" s="88"/>
      <c r="Z27" s="88"/>
      <c r="AA27" s="94"/>
      <c r="AB27" s="94"/>
      <c r="AC27" s="94"/>
      <c r="AD27" s="94"/>
      <c r="AE27" s="94"/>
      <c r="AF27" s="94"/>
      <c r="AG27" s="94"/>
    </row>
    <row r="28" spans="1:36" x14ac:dyDescent="0.2">
      <c r="A28" s="74" t="s">
        <v>35</v>
      </c>
      <c r="B28" s="85" t="s">
        <v>47</v>
      </c>
      <c r="C28" s="83">
        <v>2</v>
      </c>
      <c r="D28" s="83">
        <v>5</v>
      </c>
      <c r="E28" s="83">
        <v>6</v>
      </c>
      <c r="F28" s="84">
        <v>5</v>
      </c>
      <c r="G28" s="83">
        <v>2</v>
      </c>
      <c r="H28" s="84">
        <v>1</v>
      </c>
      <c r="I28" s="83">
        <v>4</v>
      </c>
      <c r="J28" s="75">
        <f>IF(C28&gt;C27,1,0)+IF(D28&gt;D27,1,0)+IF(E28&gt;E27,1,0)+IF(F28&gt;F27,1,0)+IF(G28&gt;G27,1,0)+IF(H28&gt;H27,1,0)+IF(I28&gt;I27,1,0)</f>
        <v>3</v>
      </c>
      <c r="M28" s="1"/>
      <c r="O28" s="52"/>
      <c r="P28" s="52"/>
      <c r="Q28" s="52"/>
      <c r="R28" s="52"/>
      <c r="S28" s="52"/>
      <c r="T28" s="52"/>
      <c r="U28" s="52"/>
      <c r="Y28" s="88"/>
      <c r="Z28" s="88"/>
      <c r="AA28" s="94"/>
      <c r="AB28" s="94"/>
      <c r="AC28" s="94"/>
      <c r="AD28" s="94"/>
      <c r="AE28" s="94"/>
      <c r="AF28" s="94"/>
      <c r="AG28" s="94"/>
    </row>
    <row r="29" spans="1:36" x14ac:dyDescent="0.2">
      <c r="A29" s="53"/>
      <c r="B29" s="88"/>
      <c r="C29" s="89"/>
      <c r="D29" s="89"/>
      <c r="E29" s="89"/>
      <c r="F29" s="89"/>
      <c r="G29" s="89"/>
      <c r="H29" s="89"/>
      <c r="I29" s="89"/>
      <c r="M29" s="1"/>
      <c r="O29" s="52"/>
      <c r="P29" s="52"/>
      <c r="Q29" s="52"/>
      <c r="R29" s="52"/>
      <c r="S29" s="52"/>
      <c r="T29" s="52"/>
      <c r="U29" s="52"/>
      <c r="Y29" s="1"/>
      <c r="AA29" s="51"/>
      <c r="AB29" s="51"/>
      <c r="AC29" s="51"/>
      <c r="AD29" s="51"/>
      <c r="AE29" s="51"/>
      <c r="AF29" s="51"/>
    </row>
    <row r="30" spans="1:36" x14ac:dyDescent="0.2">
      <c r="A30" s="53"/>
      <c r="B30" s="88"/>
      <c r="C30" s="89"/>
      <c r="D30" s="89"/>
      <c r="E30" s="89"/>
      <c r="F30" s="89"/>
      <c r="G30" s="89"/>
      <c r="H30" s="89"/>
      <c r="I30" s="89"/>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262" priority="27" stopIfTrue="1" operator="greaterThan">
      <formula>C4</formula>
    </cfRule>
  </conditionalFormatting>
  <conditionalFormatting sqref="C4:I4 C7:I7 O21:U21 C14:I14 AA9:AG9 AA16:AG16 O11:U11 O7:Q7 C11:I11 C25 C21:E21 C18:I18 O25:U25 AA23:AG23 F25:I25 G21:I21 C28:I28 S7:U7">
    <cfRule type="cellIs" dxfId="261" priority="28" stopIfTrue="1" operator="greaterThan">
      <formula>C3</formula>
    </cfRule>
  </conditionalFormatting>
  <conditionalFormatting sqref="C3:I3 C6:I6 O20:U20 C13:I13 AA8:AG8 AA15:AG15 O10:U10 O6:Q6 C10:I10 C24 C20:E20 C17:I17 O24:U24 AA22:AG22 F24:I24 G20:I20 C27:I27 S6:U6">
    <cfRule type="cellIs" dxfId="260" priority="18" stopIfTrue="1" operator="greaterThan">
      <formula>C4</formula>
    </cfRule>
  </conditionalFormatting>
  <conditionalFormatting sqref="C4:I4 C7:I7 O21:U21 C14:I14 AA9:AG9 AA16:AG16 O11:U11 O7:Q7 C11:I11 C25 C21:E21 C18:I18 O25:U25 AA23:AG23 F25:I25 G21:I21 C28:I28 S7:U7">
    <cfRule type="cellIs" dxfId="259" priority="17" stopIfTrue="1" operator="greaterThan">
      <formula>C3</formula>
    </cfRule>
  </conditionalFormatting>
  <conditionalFormatting sqref="D24">
    <cfRule type="cellIs" dxfId="258" priority="15" stopIfTrue="1" operator="greaterThan">
      <formula>D25</formula>
    </cfRule>
  </conditionalFormatting>
  <conditionalFormatting sqref="D25">
    <cfRule type="cellIs" dxfId="257" priority="16" stopIfTrue="1" operator="greaterThan">
      <formula>D24</formula>
    </cfRule>
  </conditionalFormatting>
  <conditionalFormatting sqref="D24">
    <cfRule type="cellIs" dxfId="256" priority="14" stopIfTrue="1" operator="greaterThan">
      <formula>D25</formula>
    </cfRule>
  </conditionalFormatting>
  <conditionalFormatting sqref="D25">
    <cfRule type="cellIs" dxfId="255" priority="13" stopIfTrue="1" operator="greaterThan">
      <formula>D24</formula>
    </cfRule>
  </conditionalFormatting>
  <conditionalFormatting sqref="E24">
    <cfRule type="cellIs" dxfId="254" priority="11" stopIfTrue="1" operator="greaterThan">
      <formula>E25</formula>
    </cfRule>
  </conditionalFormatting>
  <conditionalFormatting sqref="E25">
    <cfRule type="cellIs" dxfId="253" priority="12" stopIfTrue="1" operator="greaterThan">
      <formula>E24</formula>
    </cfRule>
  </conditionalFormatting>
  <conditionalFormatting sqref="E24">
    <cfRule type="cellIs" dxfId="252" priority="10" stopIfTrue="1" operator="greaterThan">
      <formula>E25</formula>
    </cfRule>
  </conditionalFormatting>
  <conditionalFormatting sqref="E25">
    <cfRule type="cellIs" dxfId="251" priority="9" stopIfTrue="1" operator="greaterThan">
      <formula>E24</formula>
    </cfRule>
  </conditionalFormatting>
  <conditionalFormatting sqref="F20">
    <cfRule type="cellIs" dxfId="250" priority="7" stopIfTrue="1" operator="greaterThan">
      <formula>F21</formula>
    </cfRule>
  </conditionalFormatting>
  <conditionalFormatting sqref="F21">
    <cfRule type="cellIs" dxfId="249" priority="8" stopIfTrue="1" operator="greaterThan">
      <formula>F20</formula>
    </cfRule>
  </conditionalFormatting>
  <conditionalFormatting sqref="F20">
    <cfRule type="cellIs" dxfId="248" priority="6" stopIfTrue="1" operator="greaterThan">
      <formula>F21</formula>
    </cfRule>
  </conditionalFormatting>
  <conditionalFormatting sqref="F21">
    <cfRule type="cellIs" dxfId="247" priority="5" stopIfTrue="1" operator="greaterThan">
      <formula>F20</formula>
    </cfRule>
  </conditionalFormatting>
  <conditionalFormatting sqref="R6">
    <cfRule type="cellIs" dxfId="246" priority="3" stopIfTrue="1" operator="greaterThan">
      <formula>R7</formula>
    </cfRule>
  </conditionalFormatting>
  <conditionalFormatting sqref="R7">
    <cfRule type="cellIs" dxfId="245" priority="4" stopIfTrue="1" operator="greaterThan">
      <formula>R6</formula>
    </cfRule>
  </conditionalFormatting>
  <conditionalFormatting sqref="R6">
    <cfRule type="cellIs" dxfId="244" priority="2" stopIfTrue="1" operator="greaterThan">
      <formula>R7</formula>
    </cfRule>
  </conditionalFormatting>
  <conditionalFormatting sqref="R7">
    <cfRule type="cellIs" dxfId="243"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2019-04-25T23:13:09Z</dcterms:modified>
</cp:coreProperties>
</file>