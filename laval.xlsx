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12" i="16" l="1"/>
  <c r="E6" i="16"/>
  <c r="F6" i="16"/>
  <c r="E8" i="16"/>
  <c r="AA96" i="16" l="1"/>
  <c r="AA97" i="16" s="1"/>
  <c r="W96" i="16"/>
  <c r="W97" i="16" s="1"/>
  <c r="T96" i="16"/>
  <c r="T97" i="16" s="1"/>
  <c r="AA92" i="16"/>
  <c r="AA93" i="16" s="1"/>
  <c r="W92" i="16"/>
  <c r="W93" i="16" s="1"/>
  <c r="T92" i="16"/>
  <c r="T93" i="16" s="1"/>
  <c r="AA88" i="16"/>
  <c r="AA89" i="16" s="1"/>
  <c r="Y88" i="16"/>
  <c r="Y89" i="16" s="1"/>
  <c r="W88" i="16"/>
  <c r="W89" i="16" s="1"/>
  <c r="T88" i="16"/>
  <c r="T89" i="16" s="1"/>
  <c r="W84" i="16"/>
  <c r="W85" i="16" s="1"/>
  <c r="Y76" i="16"/>
  <c r="Y77" i="16" s="1"/>
  <c r="T76" i="16"/>
  <c r="T77" i="16" s="1"/>
  <c r="X72" i="16"/>
  <c r="X73" i="16" s="1"/>
  <c r="T72" i="16"/>
  <c r="T73" i="16" s="1"/>
  <c r="AA68" i="16"/>
  <c r="AA69" i="16" s="1"/>
  <c r="AA64" i="16"/>
  <c r="AA65" i="16" s="1"/>
  <c r="Y64" i="16"/>
  <c r="Y65" i="16" s="1"/>
  <c r="V64" i="16"/>
  <c r="V65" i="16" s="1"/>
  <c r="T64" i="16"/>
  <c r="T65" i="16" s="1"/>
  <c r="AA60" i="16"/>
  <c r="AA61" i="16" s="1"/>
  <c r="W60" i="16"/>
  <c r="W61" i="16" s="1"/>
  <c r="W56" i="16"/>
  <c r="W57" i="16" s="1"/>
  <c r="T56" i="16"/>
  <c r="T57" i="16" s="1"/>
  <c r="W52" i="16"/>
  <c r="W53" i="16" s="1"/>
  <c r="AA48" i="16"/>
  <c r="AA49" i="16" s="1"/>
  <c r="W48" i="16"/>
  <c r="W49" i="16" s="1"/>
  <c r="W44" i="16"/>
  <c r="W45" i="16" s="1"/>
  <c r="AA40" i="16"/>
  <c r="AA41" i="16" s="1"/>
  <c r="T40" i="16"/>
  <c r="T41" i="16" s="1"/>
  <c r="AA36" i="16"/>
  <c r="AA37" i="16" s="1"/>
  <c r="V36" i="16"/>
  <c r="V37" i="16" s="1"/>
  <c r="T36" i="16"/>
  <c r="T37" i="16" s="1"/>
  <c r="AA32" i="16"/>
  <c r="AA33" i="16" s="1"/>
  <c r="T32" i="16"/>
  <c r="T33" i="16" s="1"/>
  <c r="AA20" i="16"/>
  <c r="AA21" i="16" s="1"/>
  <c r="W16" i="16"/>
  <c r="W17" i="16" s="1"/>
  <c r="T16" i="16"/>
  <c r="T17" i="16" s="1"/>
  <c r="W12" i="16"/>
  <c r="W13" i="16" s="1"/>
  <c r="T12" i="16"/>
  <c r="T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70" i="16"/>
  <c r="AG70" i="16"/>
  <c r="AC98" i="16" l="1"/>
  <c r="AD98" i="16"/>
  <c r="AE98" i="16"/>
  <c r="AF98" i="16"/>
  <c r="AH98" i="16"/>
  <c r="AI98" i="16"/>
  <c r="P96" i="16"/>
  <c r="P97" i="16" s="1"/>
  <c r="L96" i="16"/>
  <c r="L97" i="16" s="1"/>
  <c r="I96" i="16"/>
  <c r="I97" i="16" s="1"/>
  <c r="F96" i="16"/>
  <c r="F97" i="16" s="1"/>
  <c r="D96" i="16"/>
  <c r="D97" i="16" s="1"/>
  <c r="AJ42" i="16"/>
  <c r="AG42" i="16"/>
  <c r="P92" i="16"/>
  <c r="P93" i="16" s="1"/>
  <c r="L92" i="16"/>
  <c r="L93" i="16" s="1"/>
  <c r="I92" i="16"/>
  <c r="I93" i="16" s="1"/>
  <c r="F92" i="16"/>
  <c r="F93" i="16" s="1"/>
  <c r="D92" i="16"/>
  <c r="D93" i="16" s="1"/>
  <c r="AJ46" i="16"/>
  <c r="AG46" i="16"/>
  <c r="P84" i="16"/>
  <c r="P85" i="16" s="1"/>
  <c r="L84" i="16"/>
  <c r="L85" i="16" s="1"/>
  <c r="I84" i="16"/>
  <c r="I85" i="16" s="1"/>
  <c r="F84" i="16"/>
  <c r="F85" i="16" s="1"/>
  <c r="D84" i="16"/>
  <c r="D85" i="16" s="1"/>
  <c r="AJ74" i="16"/>
  <c r="AG74"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D8" i="16"/>
  <c r="C8" i="16"/>
  <c r="AH6" i="16" l="1"/>
  <c r="AD6" i="16"/>
  <c r="W6" i="16"/>
  <c r="W20" i="16" s="1"/>
  <c r="W21" i="16" s="1"/>
  <c r="AE6" i="16"/>
  <c r="V6" i="16"/>
  <c r="AF6" i="16"/>
  <c r="AC6" i="16"/>
  <c r="H6" i="16"/>
  <c r="O6" i="16"/>
  <c r="AA6" i="16"/>
  <c r="T6" i="16"/>
  <c r="AI6" i="16"/>
  <c r="Q6" i="16"/>
  <c r="Q56" i="16" s="1"/>
  <c r="Q57" i="16" s="1"/>
  <c r="U6" i="16"/>
  <c r="U48" i="16" s="1"/>
  <c r="U49" i="16" s="1"/>
  <c r="C6" i="16"/>
  <c r="G6" i="16"/>
  <c r="K6" i="16"/>
  <c r="P6" i="16"/>
  <c r="P20" i="16" s="1"/>
  <c r="P21" i="16" s="1"/>
  <c r="R6" i="16"/>
  <c r="M6" i="16"/>
  <c r="M52" i="16" s="1"/>
  <c r="M53" i="16" s="1"/>
  <c r="I6" i="16"/>
  <c r="Z6" i="16"/>
  <c r="L6" i="16"/>
  <c r="L28" i="16" s="1"/>
  <c r="L29" i="16" s="1"/>
  <c r="N6" i="16"/>
  <c r="N96" i="16" s="1"/>
  <c r="N97" i="16" s="1"/>
  <c r="Y6" i="16"/>
  <c r="J6" i="16"/>
  <c r="D6" i="16"/>
  <c r="X6" i="16"/>
  <c r="Z80" i="16" l="1"/>
  <c r="Z81" i="16" s="1"/>
  <c r="Z16" i="16"/>
  <c r="Z17" i="16" s="1"/>
  <c r="AA76" i="16"/>
  <c r="AA77" i="16" s="1"/>
  <c r="AA56" i="16"/>
  <c r="AA57" i="16" s="1"/>
  <c r="AA12" i="16"/>
  <c r="AA13" i="16" s="1"/>
  <c r="Y60" i="16"/>
  <c r="Y61" i="16" s="1"/>
  <c r="Y40" i="16"/>
  <c r="Y41" i="16" s="1"/>
  <c r="Y96" i="16"/>
  <c r="Y97" i="16" s="1"/>
  <c r="Y52" i="16"/>
  <c r="Y53" i="16" s="1"/>
  <c r="Y16" i="16"/>
  <c r="Y17" i="16" s="1"/>
  <c r="X84" i="16"/>
  <c r="X85" i="16" s="1"/>
  <c r="X20" i="16"/>
  <c r="X21" i="16" s="1"/>
  <c r="X92" i="16"/>
  <c r="X93" i="16" s="1"/>
  <c r="X56" i="16"/>
  <c r="X57" i="16" s="1"/>
  <c r="X12" i="16"/>
  <c r="X13" i="16" s="1"/>
  <c r="T20" i="16"/>
  <c r="T21" i="16" s="1"/>
  <c r="T84" i="16"/>
  <c r="T85" i="16" s="1"/>
  <c r="T60" i="16"/>
  <c r="T61" i="16" s="1"/>
  <c r="W32" i="16"/>
  <c r="W33" i="16" s="1"/>
  <c r="W76" i="16"/>
  <c r="W77" i="16" s="1"/>
  <c r="W24" i="16"/>
  <c r="W25" i="16" s="1"/>
  <c r="W68" i="16"/>
  <c r="W69" i="16" s="1"/>
  <c r="V80" i="16"/>
  <c r="V81" i="16" s="1"/>
  <c r="V72" i="16"/>
  <c r="V73" i="16" s="1"/>
  <c r="V40" i="16"/>
  <c r="V41" i="16" s="1"/>
  <c r="V28" i="16"/>
  <c r="V29" i="16" s="1"/>
  <c r="Y68" i="16"/>
  <c r="Y69" i="16" s="1"/>
  <c r="Y48" i="16"/>
  <c r="Y49" i="16" s="1"/>
  <c r="Y28" i="16"/>
  <c r="Y29" i="16" s="1"/>
  <c r="Y36" i="16"/>
  <c r="Y37" i="16" s="1"/>
  <c r="X44" i="16"/>
  <c r="X45" i="16" s="1"/>
  <c r="X24" i="16"/>
  <c r="X25" i="16" s="1"/>
  <c r="X80" i="16"/>
  <c r="X81" i="16" s="1"/>
  <c r="X32" i="16"/>
  <c r="X33" i="16" s="1"/>
  <c r="U24" i="16"/>
  <c r="U25" i="16" s="1"/>
  <c r="U68" i="16"/>
  <c r="U69" i="16" s="1"/>
  <c r="U44" i="16"/>
  <c r="U45" i="16" s="1"/>
  <c r="T28" i="16"/>
  <c r="T29" i="16" s="1"/>
  <c r="T52" i="16"/>
  <c r="T53" i="16" s="1"/>
  <c r="T80" i="16"/>
  <c r="T81" i="16" s="1"/>
  <c r="Z84" i="16"/>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3" i="16"/>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46" i="16" l="1"/>
  <c r="AB70" i="16"/>
  <c r="AB42" i="16"/>
  <c r="AB74" i="16"/>
  <c r="S70" i="16"/>
  <c r="C89" i="16"/>
  <c r="AK89" i="16" s="1"/>
  <c r="AK88" i="16"/>
  <c r="S42" i="16"/>
  <c r="C97" i="16"/>
  <c r="AK97" i="16" s="1"/>
  <c r="AK96" i="16"/>
  <c r="C53" i="16"/>
  <c r="AK53" i="16" s="1"/>
  <c r="AK52" i="16"/>
  <c r="C57" i="16"/>
  <c r="AK57" i="16" s="1"/>
  <c r="AK56" i="16"/>
  <c r="S46"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4" i="16"/>
  <c r="AL74"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0" i="16"/>
  <c r="AG10" i="16"/>
  <c r="AB10" i="16"/>
  <c r="AB54" i="16"/>
  <c r="AG54" i="16"/>
  <c r="AJ62" i="16"/>
  <c r="AJ54" i="16"/>
  <c r="AJ50" i="16"/>
  <c r="AJ82" i="16"/>
  <c r="AJ22" i="16"/>
  <c r="AB50" i="16"/>
  <c r="AG50" i="16"/>
  <c r="AJ30" i="16"/>
  <c r="AJ14" i="16"/>
  <c r="AJ66" i="16"/>
  <c r="AG66" i="16"/>
  <c r="AB66" i="16"/>
  <c r="S30" i="16"/>
  <c r="S14" i="16"/>
  <c r="S66" i="16"/>
  <c r="S50" i="16"/>
  <c r="AJ86" i="16"/>
  <c r="AJ26" i="16"/>
  <c r="AJ90" i="16"/>
  <c r="AJ78" i="16"/>
  <c r="AJ38" i="16"/>
  <c r="AJ18" i="16"/>
  <c r="AG86" i="16"/>
  <c r="AB86" i="16"/>
  <c r="S62" i="16"/>
  <c r="AJ94" i="16"/>
  <c r="AJ34" i="16"/>
  <c r="AJ58" i="16"/>
  <c r="AG18" i="16"/>
  <c r="AG90" i="16"/>
  <c r="AG34" i="16"/>
  <c r="AG78" i="16"/>
  <c r="AG22" i="16"/>
  <c r="AG58" i="16"/>
  <c r="AG14" i="16"/>
  <c r="AG30" i="16"/>
  <c r="AG38" i="16"/>
  <c r="AG62" i="16"/>
  <c r="AG94" i="16"/>
  <c r="AG82" i="16"/>
  <c r="AG26" i="16"/>
  <c r="AB14" i="16"/>
  <c r="AB90" i="16"/>
  <c r="AB38" i="16"/>
  <c r="AB30" i="16"/>
  <c r="AB22" i="16"/>
  <c r="AB34" i="16"/>
  <c r="AB82" i="16"/>
  <c r="AB62" i="16"/>
  <c r="AB18" i="16"/>
  <c r="AB78" i="16"/>
  <c r="AB94" i="16"/>
  <c r="AB26" i="16"/>
  <c r="AB58" i="16"/>
  <c r="S34" i="16"/>
  <c r="S10" i="16"/>
  <c r="S54" i="16"/>
  <c r="S18" i="16"/>
  <c r="S22" i="16"/>
  <c r="S94" i="16"/>
  <c r="S86" i="16"/>
  <c r="S38" i="16"/>
  <c r="S78" i="16"/>
  <c r="S90" i="16"/>
  <c r="S58" i="16"/>
  <c r="S26" i="16"/>
  <c r="S82" i="16"/>
  <c r="AL46" i="16" l="1"/>
  <c r="AL70" i="16"/>
  <c r="AL42" i="16"/>
  <c r="AL38" i="16"/>
  <c r="AL50" i="16"/>
  <c r="AL10" i="16"/>
  <c r="AL54" i="16"/>
  <c r="AL22" i="16"/>
  <c r="AL30" i="16"/>
  <c r="AL82" i="16"/>
  <c r="AL90" i="16"/>
  <c r="AL26" i="16"/>
  <c r="AL66" i="16"/>
  <c r="AL58" i="16"/>
  <c r="AL78" i="16"/>
  <c r="AL62" i="16"/>
  <c r="AL34" i="16"/>
  <c r="AL14" i="16"/>
  <c r="AL18" i="16"/>
  <c r="AL86" i="16"/>
  <c r="AL94" i="16"/>
  <c r="AK70" i="16" l="1"/>
  <c r="A87" i="16"/>
  <c r="A70" i="16"/>
  <c r="AK42" i="16"/>
  <c r="A42" i="16"/>
  <c r="A74" i="16"/>
  <c r="A95" i="16"/>
  <c r="AK46" i="16"/>
  <c r="A46" i="16"/>
  <c r="A91" i="16"/>
  <c r="A83" i="16"/>
  <c r="AK74" i="16"/>
  <c r="A55" i="16"/>
  <c r="A79" i="16"/>
  <c r="A75" i="16"/>
  <c r="A59" i="16"/>
  <c r="A67" i="16"/>
  <c r="A71" i="16"/>
  <c r="A63" i="16"/>
  <c r="A51" i="16"/>
  <c r="A11" i="16"/>
  <c r="A26" i="16"/>
  <c r="A86" i="16"/>
  <c r="A18" i="16"/>
  <c r="A14" i="16"/>
  <c r="A90" i="16"/>
  <c r="A34" i="16"/>
  <c r="A82" i="16"/>
  <c r="A30" i="16"/>
  <c r="A22" i="16"/>
  <c r="A58" i="16"/>
  <c r="A54" i="16"/>
  <c r="A38" i="16"/>
  <c r="A62" i="16"/>
  <c r="A47" i="16"/>
  <c r="A31" i="16"/>
  <c r="A15" i="16"/>
  <c r="A43" i="16"/>
  <c r="A78" i="16"/>
  <c r="A27" i="16"/>
  <c r="A39" i="16"/>
  <c r="A23" i="16"/>
  <c r="A35" i="16"/>
  <c r="A19" i="16"/>
  <c r="A94" i="16"/>
  <c r="A66" i="16"/>
  <c r="A10" i="16"/>
  <c r="A50" i="16"/>
  <c r="AK58" i="16"/>
  <c r="AK54" i="16"/>
  <c r="AK43" i="16"/>
  <c r="AK39" i="16"/>
  <c r="AK35" i="16"/>
  <c r="AK19" i="16"/>
  <c r="AK31" i="16"/>
  <c r="AK27" i="16"/>
  <c r="AK23" i="16"/>
  <c r="AK47" i="16"/>
  <c r="AK15" i="16"/>
  <c r="AK78" i="16"/>
  <c r="AK22" i="16"/>
  <c r="AK94" i="16"/>
  <c r="AK66" i="16"/>
  <c r="AK10" i="16"/>
  <c r="AK86" i="16"/>
  <c r="AK26" i="16"/>
  <c r="AK50" i="16"/>
  <c r="AK18" i="16"/>
  <c r="AK14" i="16"/>
  <c r="AK90" i="16"/>
  <c r="AK38" i="16"/>
  <c r="AK82" i="16"/>
  <c r="AK34" i="16"/>
  <c r="AK62" i="16"/>
  <c r="AK30"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<sst xmlns="http://schemas.openxmlformats.org/spreadsheetml/2006/main" count="161" uniqueCount="86">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</sst>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2">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19" fillId="0" borderId="99"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11" fillId="3" borderId="91"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165" fontId="1" fillId="0" borderId="85" xfId="4" applyNumberFormat="1" applyBorder="1" applyAlignment="1">
      <alignment horizontal="center"/>
    </xf>
    <xf numFmtId="165" fontId="1" fillId="0" borderId="3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59">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0"/>
      <c r="D1" s="270"/>
      <c r="E1" s="270"/>
      <c r="F1" s="270"/>
      <c r="G1" s="270"/>
      <c r="H1" s="270"/>
      <c r="I1" s="270"/>
      <c r="J1" s="270"/>
      <c r="K1" s="270"/>
      <c r="L1" s="270"/>
      <c r="M1" s="270"/>
      <c r="N1" s="270"/>
      <c r="O1" s="270"/>
      <c r="P1" s="271"/>
      <c r="Q1" s="271"/>
      <c r="R1" s="271"/>
      <c r="S1" s="271"/>
      <c r="T1" s="271"/>
      <c r="U1" s="271"/>
      <c r="V1" s="271"/>
      <c r="W1" s="271"/>
      <c r="X1" s="271"/>
      <c r="Y1" s="271"/>
      <c r="Z1" s="271"/>
      <c r="AA1" s="271"/>
      <c r="AB1" s="271"/>
      <c r="AC1" s="271"/>
      <c r="AD1" s="271"/>
      <c r="AE1" s="271"/>
      <c r="AF1" s="271"/>
      <c r="AG1" s="271"/>
      <c r="AH1" s="271"/>
      <c r="AI1" s="271"/>
      <c r="AJ1" s="271"/>
    </row>
    <row r="2" spans="1:38" x14ac:dyDescent="0.2">
      <c r="A2" s="41"/>
      <c r="C2" s="272" t="s">
        <v>49</v>
      </c>
      <c r="D2" s="272"/>
      <c r="E2" s="272"/>
      <c r="F2" s="272"/>
      <c r="G2" s="272"/>
      <c r="H2" s="272"/>
      <c r="I2" s="272"/>
      <c r="J2" s="272"/>
      <c r="K2" s="272"/>
      <c r="L2" s="272"/>
      <c r="M2" s="272"/>
      <c r="N2" s="272"/>
      <c r="O2" s="272"/>
      <c r="P2" s="272"/>
      <c r="Q2" s="273" t="s">
        <v>50</v>
      </c>
      <c r="R2" s="271"/>
      <c r="S2" s="271"/>
      <c r="T2" s="271"/>
      <c r="U2" s="271"/>
      <c r="V2" s="271"/>
      <c r="W2" s="271"/>
      <c r="X2" s="271"/>
      <c r="Y2" s="271"/>
      <c r="Z2" s="271"/>
      <c r="AA2" s="271"/>
      <c r="AB2" s="271"/>
      <c r="AC2" s="271"/>
      <c r="AD2" s="271"/>
      <c r="AE2" s="271"/>
      <c r="AF2" s="271"/>
      <c r="AG2" s="271"/>
      <c r="AH2" s="271"/>
      <c r="AI2" s="271"/>
      <c r="AJ2" s="271"/>
    </row>
    <row r="3" spans="1:38" ht="6.95" customHeight="1" thickBot="1" x14ac:dyDescent="0.25">
      <c r="C3" s="270"/>
      <c r="D3" s="270"/>
      <c r="E3" s="270"/>
      <c r="F3" s="270"/>
      <c r="G3" s="270"/>
      <c r="H3" s="270"/>
      <c r="I3" s="270"/>
      <c r="J3" s="270"/>
      <c r="K3" s="270"/>
      <c r="L3" s="270"/>
      <c r="M3" s="270"/>
      <c r="N3" s="270"/>
      <c r="O3" s="270"/>
      <c r="P3" s="271"/>
      <c r="Q3" s="271"/>
      <c r="R3" s="271"/>
      <c r="S3" s="271"/>
      <c r="T3" s="271"/>
      <c r="U3" s="271"/>
      <c r="V3" s="271"/>
      <c r="W3" s="271"/>
      <c r="X3" s="271"/>
      <c r="Y3" s="271"/>
      <c r="Z3" s="271"/>
      <c r="AA3" s="271"/>
      <c r="AB3" s="271"/>
      <c r="AC3" s="271"/>
      <c r="AD3" s="271"/>
      <c r="AE3" s="271"/>
      <c r="AF3" s="271"/>
      <c r="AG3" s="271"/>
      <c r="AH3" s="271"/>
      <c r="AI3" s="271"/>
      <c r="AJ3" s="271"/>
    </row>
    <row r="4" spans="1:38" ht="13.5" thickBot="1" x14ac:dyDescent="0.25">
      <c r="C4" s="295" t="s">
        <v>0</v>
      </c>
      <c r="D4" s="296"/>
      <c r="E4" s="296"/>
      <c r="F4" s="296"/>
      <c r="G4" s="296"/>
      <c r="H4" s="296"/>
      <c r="I4" s="296"/>
      <c r="J4" s="296"/>
      <c r="K4" s="296"/>
      <c r="L4" s="296"/>
      <c r="M4" s="296"/>
      <c r="N4" s="296"/>
      <c r="O4" s="296"/>
      <c r="P4" s="296"/>
      <c r="Q4" s="296"/>
      <c r="R4" s="296"/>
      <c r="S4" s="297"/>
      <c r="T4" s="295" t="s">
        <v>1</v>
      </c>
      <c r="U4" s="296"/>
      <c r="V4" s="296"/>
      <c r="W4" s="296"/>
      <c r="X4" s="296"/>
      <c r="Y4" s="296"/>
      <c r="Z4" s="296"/>
      <c r="AA4" s="296"/>
      <c r="AB4" s="297"/>
      <c r="AC4" s="295" t="s">
        <v>2</v>
      </c>
      <c r="AD4" s="296"/>
      <c r="AE4" s="296"/>
      <c r="AF4" s="296"/>
      <c r="AG4" s="304"/>
      <c r="AH4" s="295" t="s">
        <v>10</v>
      </c>
      <c r="AI4" s="296"/>
      <c r="AJ4" s="297"/>
    </row>
    <row r="5" spans="1:38" ht="12.75" customHeight="1" x14ac:dyDescent="0.2">
      <c r="A5" s="32"/>
      <c r="B5" s="4"/>
      <c r="C5" s="264" t="s">
        <v>9</v>
      </c>
      <c r="D5" s="265"/>
      <c r="E5" s="265"/>
      <c r="F5" s="265"/>
      <c r="G5" s="265"/>
      <c r="H5" s="265"/>
      <c r="I5" s="265"/>
      <c r="J5" s="266"/>
      <c r="K5" s="302" t="s">
        <v>8</v>
      </c>
      <c r="L5" s="265"/>
      <c r="M5" s="265"/>
      <c r="N5" s="265"/>
      <c r="O5" s="265"/>
      <c r="P5" s="265"/>
      <c r="Q5" s="265"/>
      <c r="R5" s="266"/>
      <c r="S5" s="298" t="s">
        <v>12</v>
      </c>
      <c r="T5" s="264" t="s">
        <v>9</v>
      </c>
      <c r="U5" s="265"/>
      <c r="V5" s="265"/>
      <c r="W5" s="266"/>
      <c r="X5" s="302" t="s">
        <v>8</v>
      </c>
      <c r="Y5" s="265"/>
      <c r="Z5" s="265"/>
      <c r="AA5" s="266"/>
      <c r="AB5" s="298" t="s">
        <v>13</v>
      </c>
      <c r="AC5" s="303" t="s">
        <v>9</v>
      </c>
      <c r="AD5" s="266"/>
      <c r="AE5" s="302" t="s">
        <v>8</v>
      </c>
      <c r="AF5" s="266"/>
      <c r="AG5" s="298" t="s">
        <v>14</v>
      </c>
      <c r="AH5" s="56"/>
      <c r="AI5" s="25"/>
      <c r="AJ5" s="298" t="s">
        <v>15</v>
      </c>
      <c r="AK5" s="4"/>
    </row>
    <row r="6" spans="1:38" s="39" customFormat="1" ht="12.75" customHeight="1" x14ac:dyDescent="0.2">
      <c r="A6" s="38"/>
      <c r="B6" s="37"/>
      <c r="C6" s="156">
        <f>Résultats!$J$3</f>
        <v>0</v>
      </c>
      <c r="D6" s="198">
        <f>Résultats!$J$4</f>
        <v>4</v>
      </c>
      <c r="E6" s="194">
        <f>Résultats!$J$6</f>
        <v>4</v>
      </c>
      <c r="F6" s="104">
        <f>Résultats!$J$7</f>
        <v>3</v>
      </c>
      <c r="G6" s="159">
        <f>Résultats!$J$10</f>
        <v>3</v>
      </c>
      <c r="H6" s="202">
        <f>Résultats!$J$11</f>
        <v>4</v>
      </c>
      <c r="I6" s="194">
        <f>Résultats!$J$13</f>
        <v>4</v>
      </c>
      <c r="J6" s="103">
        <f>Résultats!$J$14</f>
        <v>0</v>
      </c>
      <c r="K6" s="105">
        <f>Résultats!$J$17</f>
        <v>1</v>
      </c>
      <c r="L6" s="198">
        <f>Résultats!$J$18</f>
        <v>4</v>
      </c>
      <c r="M6" s="159">
        <f>Résultats!$J$20</f>
        <v>2</v>
      </c>
      <c r="N6" s="202">
        <f>Résultats!$J$21</f>
        <v>4</v>
      </c>
      <c r="O6" s="159">
        <f>Résultats!$J$24</f>
        <v>2</v>
      </c>
      <c r="P6" s="202">
        <f>Résultats!$J$25</f>
        <v>4</v>
      </c>
      <c r="Q6" s="206">
        <f>Résultats!$J$27</f>
        <v>4</v>
      </c>
      <c r="R6" s="103">
        <f>Résultats!$J$28</f>
        <v>3</v>
      </c>
      <c r="S6" s="299"/>
      <c r="T6" s="156">
        <f>Résultats!$V$6</f>
        <v>2</v>
      </c>
      <c r="U6" s="103">
        <f>Résultats!$V$7</f>
        <v>2</v>
      </c>
      <c r="V6" s="159">
        <f>Résultats!$V$10</f>
        <v>0</v>
      </c>
      <c r="W6" s="198">
        <f>Résultats!$V$11</f>
        <v>4</v>
      </c>
      <c r="X6" s="105">
        <f>Résultats!$V$20</f>
        <v>2</v>
      </c>
      <c r="Y6" s="104">
        <f>Résultats!$V$21</f>
        <v>2</v>
      </c>
      <c r="Z6" s="106">
        <f>Résultats!$V$24</f>
        <v>2</v>
      </c>
      <c r="AA6" s="103">
        <f>Résultats!$V$25</f>
        <v>3</v>
      </c>
      <c r="AB6" s="299"/>
      <c r="AC6" s="106">
        <f>Résultats!$AH$8</f>
        <v>0</v>
      </c>
      <c r="AD6" s="103">
        <f>Résultats!$AH$9</f>
        <v>0</v>
      </c>
      <c r="AE6" s="105">
        <f>Résultats!$AH$22</f>
        <v>0</v>
      </c>
      <c r="AF6" s="103">
        <f>Résultats!$AH$23</f>
        <v>0</v>
      </c>
      <c r="AG6" s="299"/>
      <c r="AH6" s="173">
        <f>Résultats!$AH$15</f>
        <v>0</v>
      </c>
      <c r="AI6" s="107">
        <f>Résultats!$AH$16</f>
        <v>0</v>
      </c>
      <c r="AJ6" s="299"/>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199"/>
      <c r="E7" s="195"/>
      <c r="F7" s="113"/>
      <c r="G7" s="114"/>
      <c r="H7" s="199"/>
      <c r="I7" s="195"/>
      <c r="J7" s="112"/>
      <c r="K7" s="115"/>
      <c r="L7" s="199"/>
      <c r="M7" s="160"/>
      <c r="N7" s="203"/>
      <c r="O7" s="160"/>
      <c r="P7" s="203"/>
      <c r="Q7" s="207"/>
      <c r="R7" s="112"/>
      <c r="S7" s="299"/>
      <c r="T7" s="157"/>
      <c r="U7" s="112"/>
      <c r="V7" s="160"/>
      <c r="W7" s="199"/>
      <c r="X7" s="115"/>
      <c r="Y7" s="113"/>
      <c r="Z7" s="114"/>
      <c r="AA7" s="112"/>
      <c r="AB7" s="299"/>
      <c r="AC7" s="114"/>
      <c r="AD7" s="112"/>
      <c r="AE7" s="115"/>
      <c r="AF7" s="112"/>
      <c r="AG7" s="299"/>
      <c r="AH7" s="173"/>
      <c r="AI7" s="107"/>
      <c r="AJ7" s="299"/>
      <c r="AK7" s="37"/>
    </row>
    <row r="8" spans="1:38" s="39" customFormat="1" ht="77.25" customHeight="1" thickBot="1" x14ac:dyDescent="0.25">
      <c r="A8" s="38"/>
      <c r="B8" s="37"/>
      <c r="C8" s="158" t="str">
        <f>Résultats!$B$3</f>
        <v>TAMPA BAY</v>
      </c>
      <c r="D8" s="200" t="str">
        <f>Résultats!$B$4</f>
        <v>COLUMBUS</v>
      </c>
      <c r="E8" s="196" t="str">
        <f>Résultats!$B$6</f>
        <v>BOSTON</v>
      </c>
      <c r="F8" s="163" t="str">
        <f>Résultats!$B$7</f>
        <v>TORONTO</v>
      </c>
      <c r="G8" s="164" t="str">
        <f>Résultats!$B$10</f>
        <v>WASHINGTON</v>
      </c>
      <c r="H8" s="200" t="str">
        <f>Résultats!$B$11</f>
        <v>CAROLINE</v>
      </c>
      <c r="I8" s="196" t="str">
        <f>Résultats!$B$13</f>
        <v>NEW YORK I.</v>
      </c>
      <c r="J8" s="161" t="str">
        <f>Résultats!$B$14</f>
        <v>PITTSBURGH</v>
      </c>
      <c r="K8" s="165" t="str">
        <f>Résultats!$B$17</f>
        <v>CALGARY</v>
      </c>
      <c r="L8" s="200" t="str">
        <f>Résultats!$B$18</f>
        <v>COLORADO</v>
      </c>
      <c r="M8" s="162" t="str">
        <f>Résultats!$B$20</f>
        <v>WINNIPEG</v>
      </c>
      <c r="N8" s="204" t="str">
        <f>Résultats!$B$21</f>
        <v>ST-LOUIS</v>
      </c>
      <c r="O8" s="162" t="str">
        <f>Résultats!$B$24</f>
        <v>NASHVILLE</v>
      </c>
      <c r="P8" s="204" t="str">
        <f>Résultats!$B$25</f>
        <v>DALLAS</v>
      </c>
      <c r="Q8" s="208" t="str">
        <f>Résultats!$B$27</f>
        <v>SAN JOSE</v>
      </c>
      <c r="R8" s="161" t="str">
        <f>Résultats!$B$28</f>
        <v>VEGAS</v>
      </c>
      <c r="S8" s="299"/>
      <c r="T8" s="158" t="str">
        <f>Résultats!$N$6</f>
        <v>BOSTON</v>
      </c>
      <c r="U8" s="161" t="str">
        <f>Résultats!$N$7</f>
        <v>COLUMBUS</v>
      </c>
      <c r="V8" s="162" t="str">
        <f>Résultats!$N$10</f>
        <v>NEW YORK I.</v>
      </c>
      <c r="W8" s="200" t="str">
        <f>Résultats!$N$11</f>
        <v>CAROLINE</v>
      </c>
      <c r="X8" s="165" t="str">
        <f>Résultats!$N$20</f>
        <v>SAN JOSE</v>
      </c>
      <c r="Y8" s="163" t="str">
        <f>Résultats!$N$21</f>
        <v>COLORADO</v>
      </c>
      <c r="Z8" s="164" t="str">
        <f>Résultats!$N$24</f>
        <v>ST-LOUIS</v>
      </c>
      <c r="AA8" s="161" t="str">
        <f>Résultats!$N$25</f>
        <v>DALLAS</v>
      </c>
      <c r="AB8" s="299"/>
      <c r="AC8" s="164" t="str">
        <f>Résultats!$Z$8</f>
        <v xml:space="preserve"> </v>
      </c>
      <c r="AD8" s="161" t="str">
        <f>Résultats!$Z$9</f>
        <v xml:space="preserve"> </v>
      </c>
      <c r="AE8" s="165" t="str">
        <f>Résultats!$Z$22</f>
        <v xml:space="preserve">  </v>
      </c>
      <c r="AF8" s="161" t="str">
        <f>Résultats!$Z$23</f>
        <v xml:space="preserve"> </v>
      </c>
      <c r="AG8" s="299"/>
      <c r="AH8" s="174" t="str">
        <f>Résultats!$Z$15</f>
        <v xml:space="preserve"> </v>
      </c>
      <c r="AI8" s="175" t="str">
        <f>Résultats!$Z$16</f>
        <v xml:space="preserve"> </v>
      </c>
      <c r="AJ8" s="299"/>
      <c r="AK8" s="37"/>
    </row>
    <row r="9" spans="1:38" s="39" customFormat="1" ht="22.5" customHeight="1" thickBot="1" x14ac:dyDescent="0.25">
      <c r="A9" s="42" t="s">
        <v>7</v>
      </c>
      <c r="B9" s="40" t="s">
        <v>11</v>
      </c>
      <c r="C9" s="166" t="str">
        <f>Résultats!$A$3</f>
        <v>A1</v>
      </c>
      <c r="D9" s="201" t="str">
        <f>Résultats!$A$4</f>
        <v>WC2</v>
      </c>
      <c r="E9" s="197" t="str">
        <f>Résultats!$A$6</f>
        <v>A2</v>
      </c>
      <c r="F9" s="169" t="str">
        <f>Résultats!$A$7</f>
        <v>A3</v>
      </c>
      <c r="G9" s="170" t="str">
        <f>Résultats!$A$10</f>
        <v>M1</v>
      </c>
      <c r="H9" s="201" t="str">
        <f>Résultats!$A$11</f>
        <v>WC1</v>
      </c>
      <c r="I9" s="197" t="str">
        <f>Résultats!$A$13</f>
        <v>M2</v>
      </c>
      <c r="J9" s="167" t="str">
        <f>Résultats!$A$14</f>
        <v>M3</v>
      </c>
      <c r="K9" s="171" t="str">
        <f>Résultats!$A$17</f>
        <v>C1</v>
      </c>
      <c r="L9" s="201" t="str">
        <f>Résultats!$A$18</f>
        <v>WC2</v>
      </c>
      <c r="M9" s="168" t="str">
        <f>Résultats!$A$20</f>
        <v>C2</v>
      </c>
      <c r="N9" s="205" t="str">
        <f>Résultats!$A$21</f>
        <v>C3</v>
      </c>
      <c r="O9" s="168" t="str">
        <f>Résultats!$A$24</f>
        <v>P1</v>
      </c>
      <c r="P9" s="205" t="str">
        <f>Résultats!$A$25</f>
        <v>WC1</v>
      </c>
      <c r="Q9" s="209" t="str">
        <f>Résultats!$A$27</f>
        <v>P2</v>
      </c>
      <c r="R9" s="172" t="str">
        <f>Résultats!$A$28</f>
        <v>P3</v>
      </c>
      <c r="S9" s="301"/>
      <c r="T9" s="166" t="str">
        <f>Résultats!$M$6</f>
        <v>A2</v>
      </c>
      <c r="U9" s="167" t="str">
        <f>Résultats!$M$7</f>
        <v>WC2</v>
      </c>
      <c r="V9" s="168" t="str">
        <f>Résultats!$M$10</f>
        <v>M2</v>
      </c>
      <c r="W9" s="201" t="str">
        <f>Résultats!$M$11</f>
        <v>WC1</v>
      </c>
      <c r="X9" s="171" t="str">
        <f>Résultats!$M$20</f>
        <v>P2</v>
      </c>
      <c r="Y9" s="169" t="str">
        <f>Résultats!$M$21</f>
        <v>WC2</v>
      </c>
      <c r="Z9" s="170" t="str">
        <f>Résultats!$M$24</f>
        <v>C3</v>
      </c>
      <c r="AA9" s="172" t="str">
        <f>Résultats!$M$25</f>
        <v>WC1</v>
      </c>
      <c r="AB9" s="300"/>
      <c r="AC9" s="170" t="str">
        <f>Résultats!$Y$8</f>
        <v xml:space="preserve"> </v>
      </c>
      <c r="AD9" s="167" t="str">
        <f>Résultats!$Y$9</f>
        <v xml:space="preserve"> </v>
      </c>
      <c r="AE9" s="171" t="str">
        <f>Résultats!$Y$22</f>
        <v xml:space="preserve"> </v>
      </c>
      <c r="AF9" s="167" t="str">
        <f>Résultats!$Y$23</f>
        <v xml:space="preserve">  </v>
      </c>
      <c r="AG9" s="300"/>
      <c r="AH9" s="176" t="str">
        <f>Résultats!$Y$15</f>
        <v xml:space="preserve"> </v>
      </c>
      <c r="AI9" s="177" t="str">
        <f>Résultats!$Y$16</f>
        <v xml:space="preserve"> </v>
      </c>
      <c r="AJ9" s="301"/>
      <c r="AK9" s="109" t="s">
        <v>51</v>
      </c>
      <c r="AL9" s="108" t="s">
        <v>3</v>
      </c>
    </row>
    <row r="10" spans="1:38" ht="12.75" customHeight="1" thickTop="1" x14ac:dyDescent="0.2">
      <c r="A10" s="216">
        <f>RANK(AL10,$AL$10:$AL$97,)</f>
        <v>1</v>
      </c>
      <c r="B10" s="217" t="s">
        <v>70</v>
      </c>
      <c r="C10" s="218">
        <v>5</v>
      </c>
      <c r="D10" s="219"/>
      <c r="E10" s="247">
        <v>7</v>
      </c>
      <c r="F10" s="219"/>
      <c r="G10" s="221">
        <v>4</v>
      </c>
      <c r="H10" s="222"/>
      <c r="I10" s="220"/>
      <c r="J10" s="222">
        <v>6</v>
      </c>
      <c r="K10" s="223">
        <v>5</v>
      </c>
      <c r="L10" s="222"/>
      <c r="M10" s="220"/>
      <c r="N10" s="248">
        <v>6</v>
      </c>
      <c r="O10" s="220">
        <v>7</v>
      </c>
      <c r="P10" s="219"/>
      <c r="Q10" s="221">
        <v>6</v>
      </c>
      <c r="R10" s="224"/>
      <c r="S10" s="225">
        <f>SUM(C11:R11)</f>
        <v>37</v>
      </c>
      <c r="T10" s="218">
        <v>6</v>
      </c>
      <c r="U10" s="222"/>
      <c r="V10" s="220"/>
      <c r="W10" s="222">
        <v>6</v>
      </c>
      <c r="X10" s="223">
        <v>5</v>
      </c>
      <c r="Y10" s="219"/>
      <c r="Z10" s="221"/>
      <c r="AA10" s="224">
        <v>7</v>
      </c>
      <c r="AB10" s="225">
        <f>SUM(T11:AA11)</f>
        <v>21</v>
      </c>
      <c r="AC10" s="221"/>
      <c r="AD10" s="222"/>
      <c r="AE10" s="223"/>
      <c r="AF10" s="222"/>
      <c r="AG10" s="225">
        <f>SUM(AC11:AF11)</f>
        <v>0</v>
      </c>
      <c r="AH10" s="250"/>
      <c r="AI10" s="227"/>
      <c r="AJ10" s="225">
        <f>AH11</f>
        <v>0</v>
      </c>
      <c r="AK10" s="228">
        <f>MAX($AL$10:$AL$97) - AL10</f>
        <v>0</v>
      </c>
      <c r="AL10" s="225">
        <f>$S10+$AB10+$AG10+$AJ10</f>
        <v>58</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11</v>
      </c>
      <c r="F11" s="127"/>
      <c r="G11" s="125">
        <f>(IF($G10&lt;&gt;"",($G$6*$O$104)+IF($G$6=4,($O$102)+IF($G10=$G$6+$H$6,$O$103,0),0),0)+IF($H10&lt;&gt;"",($H$6*$O$104)+IF($H$6=4,($O$102)+IF($H10=$G$6+$H$6,$O$103,0),0),0))</f>
        <v>3</v>
      </c>
      <c r="H11" s="127"/>
      <c r="I11" s="128">
        <f>(IF($I10&lt;&gt;"",($I$6*$O$104)+IF($I$6=4,($O$102)+IF($I10=$I$6+$J$6,$O$103,0),0),0)+IF($J10&lt;&gt;"",($J$6*$O$104)+IF($J$6=4,($O$102)+IF($J10=$I$6+$J$6,$O$103,0),0),0))</f>
        <v>0</v>
      </c>
      <c r="J11" s="129"/>
      <c r="K11" s="130">
        <f>(IF($K10&lt;&gt;"",($K$6*$O$104)+IF($K$6=4,($O$102)+IF($K10=$K$6+$L$6,$O$103,0),0),0)+IF($L10&lt;&gt;"",($L$6*$O$104)+IF($L$6=4,($O$102)+IF($L10=$K$6+$L$6,$O$103,0),0),0))</f>
        <v>1</v>
      </c>
      <c r="L11" s="127"/>
      <c r="M11" s="125">
        <f>(IF($M10&lt;&gt;"",($M$6*$O$104)+IF($M$6=4,($O$102)+IF($M10=$M$6+$N$6,$O$103,0),0),0)+IF($N10&lt;&gt;"",($N$6*$O$104)+IF($N$6=4,($O$102)+IF($N10=$M$6+$N$6,$O$103,0),0),0))</f>
        <v>11</v>
      </c>
      <c r="N11" s="127"/>
      <c r="O11" s="128">
        <f>(IF($O10&lt;&gt;"",($O$6*$O$104)+IF($O$6=4,($O$102)+IF($O10=$O$6+$P$6,$O$103,0),0),0)+IF($P10&lt;&gt;"",($P$6*$O$104)+IF($P$6=4,($O$102)+IF($P10=$O$6+$P$6,$O$103,0),0),0))</f>
        <v>2</v>
      </c>
      <c r="P11" s="127"/>
      <c r="Q11" s="125">
        <f>(IF($Q10&lt;&gt;"",($Q$6*$O$104)+IF($Q$6=4,($O$102)+IF($Q10=$Q$6+$R$6,$O$103,0),0),0)+IF($R10&lt;&gt;"",($R$6*$O$104)+IF($R$6=4,($O$102)+IF($R10=$Q$6+$R$6,$O$103,0),0),0))</f>
        <v>9</v>
      </c>
      <c r="R11" s="131"/>
      <c r="S11" s="121"/>
      <c r="T11" s="126">
        <f>(IF($T10&lt;&gt;"",($T$6*$P$104)+IF($T$6=4,($P$102)+IF($T10=$T$6+$U$6,$P$103,0),0),0)+IF($U10&lt;&gt;"",($U$6*$P$104)+IF($U$6=4,($P$102)+IF($U10=$T$6+$U$6,$P$103,0),0),0))</f>
        <v>2</v>
      </c>
      <c r="U11" s="126"/>
      <c r="V11" s="126">
        <f>(IF($V10&lt;&gt;"",($V$6*$P$104)+IF($V$6=4,($P$102)+IF($V10=$V$6+$W$6,$P$103,0),0),0)+IF($W10&lt;&gt;"",($W$6*$P$104)+IF($W$6=4,($P$102)+IF($W10=$V$6+$W$6,$P$103,0),0),0))</f>
        <v>14</v>
      </c>
      <c r="W11" s="126"/>
      <c r="X11" s="126">
        <f>(IF($X10&lt;&gt;"",($X$6*$P$104)+IF($X$6=4,($P$102)+IF($X10=$X$6+$Y$6,$P$103,0),0),0)+IF($Y10&lt;&gt;"",($Y$6*$P$104)+IF($Y$6=4,($P$102)+IF($Y10=$X$6+$Y$6,$P$103,0),0),0))</f>
        <v>2</v>
      </c>
      <c r="Y11" s="59"/>
      <c r="Z11" s="126">
        <f>(IF($Z10&lt;&gt;"",($Z$6*$P$104)+IF($Z$6=4,($P$102)+IF($Z10=$Z$6+$AA$6,$P$103,0),0),0)+IF($AA10&lt;&gt;"",($AA$6*$P$104)+IF($AA$6=4,($P$102)+IF($AA10=$Z$6+$AA$6,$P$103,0),0),0))</f>
        <v>3</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0</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1</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1</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1</v>
      </c>
      <c r="O13" s="118">
        <f>IF(O12 = 0,
0,
IF(O10 = (O$6+P$6),1,0))</f>
        <v>0</v>
      </c>
      <c r="P13" s="118">
        <f>IF(P12 = 0,
0,
IF(P10 = (O$6+P$6),1,0))</f>
        <v>0</v>
      </c>
      <c r="Q13" s="137">
        <f>IF(Q12 = 0,
0,
IF(Q10 = (Q$6+R$6),1,0))</f>
        <v>0</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2</v>
      </c>
      <c r="AL13" s="123"/>
    </row>
    <row r="14" spans="1:38" ht="12.75" customHeight="1" x14ac:dyDescent="0.2">
      <c r="A14" s="117">
        <f>RANK(AL14,$AL$10:$AL$97,)</f>
        <v>2</v>
      </c>
      <c r="B14" s="84" t="s">
        <v>73</v>
      </c>
      <c r="C14" s="46">
        <v>5</v>
      </c>
      <c r="D14" s="45"/>
      <c r="E14" s="44">
        <v>6</v>
      </c>
      <c r="F14" s="45"/>
      <c r="G14" s="48"/>
      <c r="H14" s="215">
        <v>7</v>
      </c>
      <c r="I14" s="44"/>
      <c r="J14" s="47">
        <v>6</v>
      </c>
      <c r="K14" s="49">
        <v>5</v>
      </c>
      <c r="L14" s="47"/>
      <c r="M14" s="44"/>
      <c r="N14" s="45">
        <v>7</v>
      </c>
      <c r="O14" s="44">
        <v>5</v>
      </c>
      <c r="P14" s="45"/>
      <c r="Q14" s="48"/>
      <c r="R14" s="50">
        <v>6</v>
      </c>
      <c r="S14" s="122">
        <f>SUM(C15:R15)</f>
        <v>35</v>
      </c>
      <c r="T14" s="46"/>
      <c r="U14" s="47">
        <v>7</v>
      </c>
      <c r="V14" s="44"/>
      <c r="W14" s="47">
        <v>7</v>
      </c>
      <c r="X14" s="49">
        <v>6</v>
      </c>
      <c r="Y14" s="45"/>
      <c r="Z14" s="48">
        <v>6</v>
      </c>
      <c r="AA14" s="50"/>
      <c r="AB14" s="122">
        <f>SUM(T15:AA15)</f>
        <v>20</v>
      </c>
      <c r="AC14" s="48"/>
      <c r="AD14" s="47"/>
      <c r="AE14" s="49"/>
      <c r="AF14" s="47"/>
      <c r="AG14" s="122">
        <f>SUM(AC15:AF15)</f>
        <v>0</v>
      </c>
      <c r="AH14" s="74"/>
      <c r="AI14" s="58"/>
      <c r="AJ14" s="122">
        <f>AH15</f>
        <v>0</v>
      </c>
      <c r="AK14" s="111">
        <f>MAX($AL$10:$AL$97) - AL14</f>
        <v>3</v>
      </c>
      <c r="AL14" s="122">
        <f>$S14+$AB14+$AG14+$AJ14</f>
        <v>55</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9</v>
      </c>
      <c r="N15" s="140"/>
      <c r="O15" s="120">
        <f>(IF($O14&lt;&gt;"",($O$6*$O$104)+IF($O$6=4,($O$102)+IF($O14=$O$6+$P$6,$O$103,0),0),0)+IF($P14&lt;&gt;"",($P$6*$O$104)+IF($P$6=4,($O$102)+IF($P14=$O$6+$P$6,$O$103,0),0),0))</f>
        <v>2</v>
      </c>
      <c r="P15" s="140"/>
      <c r="Q15" s="120">
        <f>(IF($Q14&lt;&gt;"",($Q$6*$O$104)+IF($Q$6=4,($O$102)+IF($Q14=$Q$6+$R$6,$O$103,0),0),0)+IF($R14&lt;&gt;"",($R$6*$O$104)+IF($R$6=4,($O$102)+IF($R14=$Q$6+$R$6,$O$103,0),0),0))</f>
        <v>3</v>
      </c>
      <c r="R15" s="143"/>
      <c r="S15" s="144"/>
      <c r="T15" s="126">
        <f>(IF($T14&lt;&gt;"",($T$6*$P$104)+IF($T$6=4,($P$102)+IF($T14=$T$6+$U$6,$P$103,0),0),0)+IF($U14&lt;&gt;"",($U$6*$P$104)+IF($U$6=4,($P$102)+IF($U14=$T$6+$U$6,$P$103,0),0),0))</f>
        <v>2</v>
      </c>
      <c r="U15" s="126"/>
      <c r="V15" s="126">
        <f>(IF($V14&lt;&gt;"",($V$6*$P$104)+IF($V$6=4,($P$102)+IF($V14=$V$6+$W$6,$P$103,0),0),0)+IF($W14&lt;&gt;"",($W$6*$P$104)+IF($W$6=4,($P$102)+IF($W14=$V$6+$W$6,$P$103,0),0),0))</f>
        <v>14</v>
      </c>
      <c r="W15" s="126"/>
      <c r="X15" s="126">
        <f>(IF($X14&lt;&gt;"",($X$6*$P$104)+IF($X$6=4,($P$102)+IF($X14=$X$6+$Y$6,$P$103,0),0),0)+IF($Y14&lt;&gt;"",($Y$6*$P$104)+IF($Y$6=4,($P$102)+IF($Y14=$X$6+$Y$6,$P$103,0),0),0))</f>
        <v>2</v>
      </c>
      <c r="Y15" s="59"/>
      <c r="Z15" s="126">
        <f>(IF($Z14&lt;&gt;"",($Z$6*$P$104)+IF($Z$6=4,($P$102)+IF($Z14=$Z$6+$AA$6,$P$103,0),0),0)+IF($AA14&lt;&gt;"",($AA$6*$P$104)+IF($AA$6=4,($P$102)+IF($AA14=$Z$6+$AA$6,$P$103,0),0),0))</f>
        <v>2</v>
      </c>
      <c r="AA15" s="62"/>
      <c r="AB15" s="144"/>
      <c r="AC15" s="149"/>
      <c r="AD15" s="146"/>
      <c r="AE15" s="147"/>
      <c r="AF15" s="149"/>
      <c r="AG15" s="144"/>
      <c r="AH15" s="145"/>
      <c r="AI15" s="148"/>
      <c r="AJ15" s="121"/>
      <c r="AK15" s="92">
        <f>MAX($AL$10:$AL$97) - AL15</f>
        <v>58</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0</v>
      </c>
      <c r="R16" s="118">
        <f>IF(ISBLANK(R14),
0,
IF(R$6 = 4, 1, 0))</f>
        <v>0</v>
      </c>
      <c r="S16" s="138"/>
      <c r="T16" s="118">
        <f>IF(ISBLANK(T14),
0,
IF(T$6= 4, 1, 0))</f>
        <v>0</v>
      </c>
      <c r="U16" s="118">
        <f>IF(ISBLANK(U14),
0,
IF(U$6 = 4, 1, 0))</f>
        <v>0</v>
      </c>
      <c r="V16" s="118">
        <f>IF(ISBLANK(V14),
0,
IF(V$6= 4, 1, 0))</f>
        <v>0</v>
      </c>
      <c r="W16" s="118">
        <f>IF(ISBLANK(W14),
0,
IF(W$6 = 4, 1, 0))</f>
        <v>1</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0</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1</v>
      </c>
      <c r="AL17" s="123"/>
    </row>
    <row r="18" spans="1:38" ht="12.75" customHeight="1" x14ac:dyDescent="0.2">
      <c r="A18" s="216">
        <f>RANK(AL18,$AL$10:$AL$97,)</f>
        <v>3</v>
      </c>
      <c r="B18" s="217" t="s">
        <v>64</v>
      </c>
      <c r="C18" s="229">
        <v>7</v>
      </c>
      <c r="D18" s="230"/>
      <c r="E18" s="243">
        <v>6</v>
      </c>
      <c r="F18" s="230"/>
      <c r="G18" s="244"/>
      <c r="H18" s="233">
        <v>6</v>
      </c>
      <c r="I18" s="243"/>
      <c r="J18" s="233">
        <v>7</v>
      </c>
      <c r="K18" s="235">
        <v>5</v>
      </c>
      <c r="L18" s="233"/>
      <c r="M18" s="234">
        <v>7</v>
      </c>
      <c r="N18" s="230"/>
      <c r="O18" s="234">
        <v>6</v>
      </c>
      <c r="P18" s="230"/>
      <c r="Q18" s="232">
        <v>6</v>
      </c>
      <c r="R18" s="237"/>
      <c r="S18" s="238">
        <f>SUM(C19:R19)</f>
        <v>32</v>
      </c>
      <c r="T18" s="229"/>
      <c r="U18" s="233">
        <v>7</v>
      </c>
      <c r="V18" s="234"/>
      <c r="W18" s="233">
        <v>6</v>
      </c>
      <c r="X18" s="235">
        <v>7</v>
      </c>
      <c r="Y18" s="230"/>
      <c r="Z18" s="232">
        <v>6</v>
      </c>
      <c r="AA18" s="237"/>
      <c r="AB18" s="239">
        <f>SUM(T19:AA19)</f>
        <v>20</v>
      </c>
      <c r="AC18" s="232"/>
      <c r="AD18" s="233"/>
      <c r="AE18" s="235"/>
      <c r="AF18" s="233"/>
      <c r="AG18" s="239">
        <f>SUM(AC19:AF19)</f>
        <v>0</v>
      </c>
      <c r="AH18" s="251"/>
      <c r="AI18" s="240"/>
      <c r="AJ18" s="239">
        <f>AH19</f>
        <v>0</v>
      </c>
      <c r="AK18" s="241">
        <f>MAX($AL$10:$AL$97) - AL18</f>
        <v>6</v>
      </c>
      <c r="AL18" s="239">
        <f>$S18+$AB18+$AG18+$AJ18</f>
        <v>52</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9</v>
      </c>
      <c r="F19" s="140"/>
      <c r="G19" s="120">
        <f>(IF($G18&lt;&gt;"",($G$6*$O$104)+IF($G$6=4,($O$102)+IF($G18=$G$6+$H$6,$O$103,0),0),0)+IF($H18&lt;&gt;"",($H$6*$O$104)+IF($H$6=4,($O$102)+IF($H18=$G$6+$H$6,$O$103,0),0),0))</f>
        <v>9</v>
      </c>
      <c r="H19" s="140"/>
      <c r="I19" s="120">
        <f>(IF($I18&lt;&gt;"",($I$6*$O$104)+IF($I$6=4,($O$102)+IF($I18=$I$6+$J$6,$O$103,0),0),0)+IF($J18&lt;&gt;"",($J$6*$O$104)+IF($J$6=4,($O$102)+IF($J18=$I$6+$J$6,$O$103,0),0),0))</f>
        <v>0</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9</v>
      </c>
      <c r="R19" s="143"/>
      <c r="S19" s="144"/>
      <c r="T19" s="126">
        <f>(IF($T18&lt;&gt;"",($T$6*$P$104)+IF($T$6=4,($P$102)+IF($T18=$T$6+$U$6,$P$103,0),0),0)+IF($U18&lt;&gt;"",($U$6*$P$104)+IF($U$6=4,($P$102)+IF($U18=$T$6+$U$6,$P$103,0),0),0))</f>
        <v>2</v>
      </c>
      <c r="U19" s="126"/>
      <c r="V19" s="126">
        <f>(IF($V18&lt;&gt;"",($V$6*$P$104)+IF($V$6=4,($P$102)+IF($V18=$V$6+$W$6,$P$103,0),0),0)+IF($W18&lt;&gt;"",($W$6*$P$104)+IF($W$6=4,($P$102)+IF($W18=$V$6+$W$6,$P$103,0),0),0))</f>
        <v>14</v>
      </c>
      <c r="W19" s="126"/>
      <c r="X19" s="126">
        <f>(IF($X18&lt;&gt;"",($X$6*$P$104)+IF($X$6=4,($P$102)+IF($X18=$X$6+$Y$6,$P$103,0),0),0)+IF($Y18&lt;&gt;"",($Y$6*$P$104)+IF($Y$6=4,($P$102)+IF($Y18=$X$6+$Y$6,$P$103,0),0),0))</f>
        <v>2</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58</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1</v>
      </c>
      <c r="I20" s="118">
        <f>IF(ISBLANK(I18),
0,
IF(I$6= 4, 1, 0))</f>
        <v>0</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1</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4</v>
      </c>
      <c r="AL20" s="123"/>
    </row>
    <row r="21" spans="1:38" s="27" customFormat="1" ht="12.75" hidden="1" customHeight="1" x14ac:dyDescent="0.2">
      <c r="A21" s="117"/>
      <c r="B21" s="124" t="s">
        <v>53</v>
      </c>
      <c r="C21" s="118">
        <f>IF(C20 = 0,
0,
IF(C18 = (C$6+D$6),1,0))</f>
        <v>0</v>
      </c>
      <c r="D21" s="118">
        <f>IF(D20 = 0,
0,
IF(D18 = (C$6+D$6),1,0))</f>
        <v>0</v>
      </c>
      <c r="E21" s="137">
        <f>IF(E20 = 0,
0,
IF(E18 = (E$6+F$6),1,0))</f>
        <v>0</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0</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0</v>
      </c>
      <c r="AL21" s="123"/>
    </row>
    <row r="22" spans="1:38" s="27" customFormat="1" ht="12.75" customHeight="1" x14ac:dyDescent="0.2">
      <c r="A22" s="117">
        <f>RANK(AL22,$AL$10:$AL$97,)</f>
        <v>4</v>
      </c>
      <c r="B22" s="84" t="s">
        <v>77</v>
      </c>
      <c r="C22" s="46">
        <v>5</v>
      </c>
      <c r="D22" s="45"/>
      <c r="E22" s="44">
        <v>6</v>
      </c>
      <c r="F22" s="45"/>
      <c r="G22" s="48"/>
      <c r="H22" s="215">
        <v>7</v>
      </c>
      <c r="I22" s="44"/>
      <c r="J22" s="47">
        <v>6</v>
      </c>
      <c r="K22" s="49">
        <v>5</v>
      </c>
      <c r="L22" s="47"/>
      <c r="M22" s="44"/>
      <c r="N22" s="211">
        <v>6</v>
      </c>
      <c r="O22" s="44">
        <v>6</v>
      </c>
      <c r="P22" s="45"/>
      <c r="Q22" s="48">
        <v>6</v>
      </c>
      <c r="R22" s="50"/>
      <c r="S22" s="122">
        <f>SUM(C23:R23)</f>
        <v>43</v>
      </c>
      <c r="T22" s="46"/>
      <c r="U22" s="47">
        <v>6</v>
      </c>
      <c r="V22" s="44">
        <v>6</v>
      </c>
      <c r="W22" s="47"/>
      <c r="X22" s="49">
        <v>5</v>
      </c>
      <c r="Y22" s="45"/>
      <c r="Z22" s="48"/>
      <c r="AA22" s="50">
        <v>7</v>
      </c>
      <c r="AB22" s="122">
        <f>SUM(T23:AA23)</f>
        <v>7</v>
      </c>
      <c r="AC22" s="48"/>
      <c r="AD22" s="47"/>
      <c r="AE22" s="49"/>
      <c r="AF22" s="47"/>
      <c r="AG22" s="122">
        <f>SUM(AC23:AF23)</f>
        <v>0</v>
      </c>
      <c r="AH22" s="214"/>
      <c r="AI22" s="57"/>
      <c r="AJ22" s="122">
        <f>AH23</f>
        <v>0</v>
      </c>
      <c r="AK22" s="111">
        <f>MAX($AL$10:$AL$97) - AL22</f>
        <v>8</v>
      </c>
      <c r="AL22" s="122">
        <f>$S22+$AB22+$AG22+$AJ22</f>
        <v>50</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9</v>
      </c>
      <c r="F23" s="151"/>
      <c r="G23" s="125">
        <f>(IF($G22&lt;&gt;"",($G$6*$O$104)+IF($G$6=4,($O$102)+IF($G22=$G$6+$H$6,$O$103,0),0),0)+IF($H22&lt;&gt;"",($H$6*$O$104)+IF($H$6=4,($O$102)+IF($H22=$G$6+$H$6,$O$103,0),0),0))</f>
        <v>11</v>
      </c>
      <c r="H23" s="151"/>
      <c r="I23" s="125">
        <f>(IF($I22&lt;&gt;"",($I$6*$O$104)+IF($I$6=4,($O$102)+IF($I22=$I$6+$J$6,$O$103,0),0),0)+IF($J22&lt;&gt;"",($J$6*$O$104)+IF($J$6=4,($O$102)+IF($J22=$I$6+$J$6,$O$103,0),0),0))</f>
        <v>0</v>
      </c>
      <c r="J23" s="152"/>
      <c r="K23" s="153">
        <f>(IF($K22&lt;&gt;"",($K$6*$O$104)+IF($K$6=4,($O$102)+IF($K22=$K$6+$L$6,$O$103,0),0),0)+IF($L22&lt;&gt;"",($L$6*$O$104)+IF($L$6=4,($O$102)+IF($L22=$K$6+$L$6,$O$103,0),0),0))</f>
        <v>1</v>
      </c>
      <c r="L23" s="151"/>
      <c r="M23" s="125">
        <f>(IF($M22&lt;&gt;"",($M$6*$O$104)+IF($M$6=4,($O$102)+IF($M22=$M$6+$N$6,$O$103,0),0),0)+IF($N22&lt;&gt;"",($N$6*$O$104)+IF($N$6=4,($O$102)+IF($N22=$M$6+$N$6,$O$103,0),0),0))</f>
        <v>11</v>
      </c>
      <c r="N23" s="151"/>
      <c r="O23" s="125">
        <f>(IF($O22&lt;&gt;"",($O$6*$O$104)+IF($O$6=4,($O$102)+IF($O22=$O$6+$P$6,$O$103,0),0),0)+IF($P22&lt;&gt;"",($P$6*$O$104)+IF($P$6=4,($O$102)+IF($P22=$O$6+$P$6,$O$103,0),0),0))</f>
        <v>2</v>
      </c>
      <c r="P23" s="151"/>
      <c r="Q23" s="125">
        <f>(IF($Q22&lt;&gt;"",($Q$6*$O$104)+IF($Q$6=4,($O$102)+IF($Q22=$Q$6+$R$6,$O$103,0),0),0)+IF($R22&lt;&gt;"",($R$6*$O$104)+IF($R$6=4,($O$102)+IF($R22=$Q$6+$R$6,$O$103,0),0),0))</f>
        <v>9</v>
      </c>
      <c r="R23" s="154"/>
      <c r="S23" s="144"/>
      <c r="T23" s="126">
        <f>(IF($T22&lt;&gt;"",($T$6*$P$104)+IF($T$6=4,($P$102)+IF($T22=$T$6+$U$6,$P$103,0),0),0)+IF($U22&lt;&gt;"",($U$6*$P$104)+IF($U$6=4,($P$102)+IF($U22=$T$6+$U$6,$P$103,0),0),0))</f>
        <v>2</v>
      </c>
      <c r="U23" s="126"/>
      <c r="V23" s="126">
        <f>(IF($V22&lt;&gt;"",($V$6*$P$104)+IF($V$6=4,($P$102)+IF($V22=$V$6+$W$6,$P$103,0),0),0)+IF($W22&lt;&gt;"",($W$6*$P$104)+IF($W$6=4,($P$102)+IF($W22=$V$6+$W$6,$P$103,0),0),0))</f>
        <v>0</v>
      </c>
      <c r="W23" s="126"/>
      <c r="X23" s="126">
        <f>(IF($X22&lt;&gt;"",($X$6*$P$104)+IF($X$6=4,($P$102)+IF($X22=$X$6+$Y$6,$P$103,0),0),0)+IF($Y22&lt;&gt;"",($Y$6*$P$104)+IF($Y$6=4,($P$102)+IF($Y22=$X$6+$Y$6,$P$103,0),0),0))</f>
        <v>2</v>
      </c>
      <c r="Y23" s="59"/>
      <c r="Z23" s="126">
        <f>(IF($Z22&lt;&gt;"",($Z$6*$P$104)+IF($Z$6=4,($P$102)+IF($Z22=$Z$6+$AA$6,$P$103,0),0),0)+IF($AA22&lt;&gt;"",($AA$6*$P$104)+IF($AA$6=4,($P$102)+IF($AA22=$Z$6+$AA$6,$P$103,0),0),0))</f>
        <v>3</v>
      </c>
      <c r="AA23" s="62"/>
      <c r="AB23" s="144"/>
      <c r="AC23" s="149"/>
      <c r="AD23" s="146"/>
      <c r="AE23" s="147"/>
      <c r="AF23" s="149"/>
      <c r="AG23" s="144"/>
      <c r="AH23" s="145"/>
      <c r="AI23" s="148"/>
      <c r="AJ23" s="144"/>
      <c r="AK23" s="150">
        <f>MAX($AL$10:$AL$97) - AL23</f>
        <v>58</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1</v>
      </c>
      <c r="I24" s="118">
        <f>IF(ISBLANK(I22),
0,
IF(I$6= 4, 1, 0))</f>
        <v>0</v>
      </c>
      <c r="J24" s="118">
        <f>IF(ISBLANK(J22),
0,
IF(J$6 = 4, 1, 0))</f>
        <v>0</v>
      </c>
      <c r="K24" s="118">
        <f>IF(ISBLANK(K22),
0,
IF(K$6= 4, 1, 0))</f>
        <v>0</v>
      </c>
      <c r="L24" s="118">
        <f>IF(ISBLANK(L22),
0,
IF(L$6 = 4, 1, 0))</f>
        <v>0</v>
      </c>
      <c r="M24" s="118">
        <f>IF(ISBLANK(M22),
0,
IF(M$6= 4, 1, 0))</f>
        <v>0</v>
      </c>
      <c r="N24" s="137">
        <f>IF(ISBLANK(N22),
0,
IF(N$6 = 4, 1, 0))</f>
        <v>1</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4</v>
      </c>
      <c r="AL24" s="123"/>
    </row>
    <row r="25" spans="1:38" s="27" customFormat="1" hidden="1" x14ac:dyDescent="0.2">
      <c r="A25" s="99"/>
      <c r="B25" s="124" t="s">
        <v>53</v>
      </c>
      <c r="C25" s="118">
        <f>IF(C24 = 0,
0,
IF(C22 = (C$6+D$6),1,0))</f>
        <v>0</v>
      </c>
      <c r="D25" s="118">
        <f>IF(D24 = 0,
0,
IF(D22 = (C$6+D$6),1,0))</f>
        <v>0</v>
      </c>
      <c r="E25" s="118">
        <f>IF(E24 = 0,
0,
IF(E22 = (E$6+F$6),1,0))</f>
        <v>0</v>
      </c>
      <c r="F25" s="118">
        <f>IF(F24 = 0,
0,
IF(F22 = (E$6+F$6),1,0))</f>
        <v>0</v>
      </c>
      <c r="G25" s="118">
        <f>IF(G24 = 0,
0,
IF(G22 = (G$6+H$6),1,0))</f>
        <v>0</v>
      </c>
      <c r="H25" s="118">
        <f>IF(H24 = 0,
0,
IF(H22 = (G$6+H$6),1,0))</f>
        <v>1</v>
      </c>
      <c r="I25" s="118">
        <f>IF(I24 = 0,
0,
IF(I22 = (I$6+J$6),1,0))</f>
        <v>0</v>
      </c>
      <c r="J25" s="118">
        <f>IF(J24 = 0,
0,
IF(J22 = (I$6+J$6),1,0))</f>
        <v>0</v>
      </c>
      <c r="K25" s="118">
        <f>IF(K24 = 0,
0,
IF(K22 = (K$6+L$6),1,0))</f>
        <v>0</v>
      </c>
      <c r="L25" s="118">
        <f>IF(L24 = 0,
0,
IF(L22 = (K$6+L$6),1,0))</f>
        <v>0</v>
      </c>
      <c r="M25" s="118">
        <f>IF(M24 = 0,
0,
IF(M22 = (M$6+N$6),1,0))</f>
        <v>0</v>
      </c>
      <c r="N25" s="137">
        <f>IF(N24 = 0,
0,
IF(N22 = (M$6+N$6),1,0))</f>
        <v>1</v>
      </c>
      <c r="O25" s="118">
        <f>IF(O24 = 0,
0,
IF(O22 = (O$6+P$6),1,0))</f>
        <v>0</v>
      </c>
      <c r="P25" s="118">
        <f>IF(P24 = 0,
0,
IF(P22 = (O$6+P$6),1,0))</f>
        <v>0</v>
      </c>
      <c r="Q25" s="118">
        <f>IF(Q24 = 0,
0,
IF(Q22 = (Q$6+R$6),1,0))</f>
        <v>0</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216">
        <f>RANK(AL26,$AL$10:$AL$97,)</f>
        <v>4</v>
      </c>
      <c r="B26" s="217" t="s">
        <v>72</v>
      </c>
      <c r="C26" s="229">
        <v>4</v>
      </c>
      <c r="D26" s="230"/>
      <c r="E26" s="234">
        <v>5</v>
      </c>
      <c r="F26" s="230"/>
      <c r="G26" s="232">
        <v>6</v>
      </c>
      <c r="H26" s="233"/>
      <c r="I26" s="234">
        <v>7</v>
      </c>
      <c r="J26" s="233"/>
      <c r="K26" s="235">
        <v>5</v>
      </c>
      <c r="L26" s="233"/>
      <c r="M26" s="234"/>
      <c r="N26" s="230">
        <v>7</v>
      </c>
      <c r="O26" s="234">
        <v>6</v>
      </c>
      <c r="P26" s="230"/>
      <c r="Q26" s="249">
        <v>7</v>
      </c>
      <c r="R26" s="237"/>
      <c r="S26" s="239">
        <f>SUM(C27:R27)</f>
        <v>44</v>
      </c>
      <c r="T26" s="229"/>
      <c r="U26" s="233">
        <v>6</v>
      </c>
      <c r="V26" s="234">
        <v>6</v>
      </c>
      <c r="W26" s="233"/>
      <c r="X26" s="235"/>
      <c r="Y26" s="230">
        <v>6</v>
      </c>
      <c r="Z26" s="232">
        <v>6</v>
      </c>
      <c r="AA26" s="237"/>
      <c r="AB26" s="239">
        <f>SUM(T27:AA27)</f>
        <v>6</v>
      </c>
      <c r="AC26" s="232"/>
      <c r="AD26" s="233"/>
      <c r="AE26" s="235"/>
      <c r="AF26" s="233"/>
      <c r="AG26" s="239">
        <f>SUM(AC27:AF27)</f>
        <v>0</v>
      </c>
      <c r="AH26" s="226"/>
      <c r="AI26" s="227"/>
      <c r="AJ26" s="239">
        <f>AH27</f>
        <v>0</v>
      </c>
      <c r="AK26" s="241">
        <f>MAX($AL$10:$AL$97) - AL26</f>
        <v>8</v>
      </c>
      <c r="AL26" s="239">
        <f>$S26+$AB26+$AG26+$AJ26</f>
        <v>50</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9</v>
      </c>
      <c r="F27" s="140"/>
      <c r="G27" s="120">
        <f>(IF($G26&lt;&gt;"",($G$6*$O$104)+IF($G$6=4,($O$102)+IF($G26=$G$6+$H$6,$O$103,0),0),0)+IF($H26&lt;&gt;"",($H$6*$O$104)+IF($H$6=4,($O$102)+IF($H26=$G$6+$H$6,$O$103,0),0),0))</f>
        <v>3</v>
      </c>
      <c r="H27" s="140"/>
      <c r="I27" s="120">
        <f>(IF($I26&lt;&gt;"",($I$6*$O$104)+IF($I$6=4,($O$102)+IF($I26=$I$6+$J$6,$O$103,0),0),0)+IF($J26&lt;&gt;"",($J$6*$O$104)+IF($J$6=4,($O$102)+IF($J26=$I$6+$J$6,$O$103,0),0),0))</f>
        <v>9</v>
      </c>
      <c r="J27" s="141"/>
      <c r="K27" s="142">
        <f>(IF($K26&lt;&gt;"",($K$6*$O$104)+IF($K$6=4,($O$102)+IF($K26=$K$6+$L$6,$O$103,0),0),0)+IF($L26&lt;&gt;"",($L$6*$O$104)+IF($L$6=4,($O$102)+IF($L26=$K$6+$L$6,$O$103,0),0),0))</f>
        <v>1</v>
      </c>
      <c r="L27" s="140"/>
      <c r="M27" s="120">
        <f>(IF($M26&lt;&gt;"",($M$6*$O$104)+IF($M$6=4,($O$102)+IF($M26=$M$6+$N$6,$O$103,0),0),0)+IF($N26&lt;&gt;"",($N$6*$O$104)+IF($N$6=4,($O$102)+IF($N26=$M$6+$N$6,$O$103,0),0),0))</f>
        <v>9</v>
      </c>
      <c r="N27" s="140"/>
      <c r="O27" s="120">
        <f>(IF($O26&lt;&gt;"",($O$6*$O$104)+IF($O$6=4,($O$102)+IF($O26=$O$6+$P$6,$O$103,0),0),0)+IF($P26&lt;&gt;"",($P$6*$O$104)+IF($P$6=4,($O$102)+IF($P26=$O$6+$P$6,$O$103,0),0),0))</f>
        <v>2</v>
      </c>
      <c r="P27" s="140"/>
      <c r="Q27" s="120">
        <f>(IF($Q26&lt;&gt;"",($Q$6*$O$104)+IF($Q$6=4,($O$102)+IF($Q26=$Q$6+$R$6,$O$103,0),0),0)+IF($R26&lt;&gt;"",($R$6*$O$104)+IF($R$6=4,($O$102)+IF($R26=$Q$6+$R$6,$O$103,0),0),0))</f>
        <v>11</v>
      </c>
      <c r="R27" s="143"/>
      <c r="S27" s="144"/>
      <c r="T27" s="126">
        <f>(IF($T26&lt;&gt;"",($T$6*$P$104)+IF($T$6=4,($P$102)+IF($T26=$T$6+$U$6,$P$103,0),0),0)+IF($U26&lt;&gt;"",($U$6*$P$104)+IF($U$6=4,($P$102)+IF($U26=$T$6+$U$6,$P$103,0),0),0))</f>
        <v>2</v>
      </c>
      <c r="U27" s="126"/>
      <c r="V27" s="126">
        <f>(IF($V26&lt;&gt;"",($V$6*$P$104)+IF($V$6=4,($P$102)+IF($V26=$V$6+$W$6,$P$103,0),0),0)+IF($W26&lt;&gt;"",($W$6*$P$104)+IF($W$6=4,($P$102)+IF($W26=$V$6+$W$6,$P$103,0),0),0))</f>
        <v>0</v>
      </c>
      <c r="W27" s="126"/>
      <c r="X27" s="126">
        <f>(IF($X26&lt;&gt;"",($X$6*$P$104)+IF($X$6=4,($P$102)+IF($X26=$X$6+$Y$6,$P$103,0),0),0)+IF($Y26&lt;&gt;"",($Y$6*$P$104)+IF($Y$6=4,($P$102)+IF($Y26=$X$6+$Y$6,$P$103,0),0),0))</f>
        <v>2</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58</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1</v>
      </c>
      <c r="J28" s="118">
        <f>IF(ISBLANK(J26),
0,
IF(J$6 = 4, 1, 0))</f>
        <v>0</v>
      </c>
      <c r="K28" s="118">
        <f>IF(ISBLANK(K26),
0,
IF(K$6= 4, 1, 0))</f>
        <v>0</v>
      </c>
      <c r="L28" s="118">
        <f>IF(ISBLANK(L26),
0,
IF(L$6 = 4, 1, 0))</f>
        <v>0</v>
      </c>
      <c r="M28" s="118">
        <f>IF(ISBLANK(M26),
0,
IF(M$6= 4, 1, 0))</f>
        <v>0</v>
      </c>
      <c r="N28" s="118">
        <f>IF(ISBLANK(N26),
0,
IF(N$6 = 4, 1, 0))</f>
        <v>1</v>
      </c>
      <c r="O28" s="118">
        <f>IF(ISBLANK(O26),
0,
IF(O$6= 4, 1, 0))</f>
        <v>0</v>
      </c>
      <c r="P28" s="118">
        <f>IF(ISBLANK(P26),
0,
IF(P$6 = 4, 1, 0))</f>
        <v>0</v>
      </c>
      <c r="Q28" s="118">
        <f>IF(ISBLANK(Q26),
0,
IF(Q$6= 4, 1, 0))</f>
        <v>1</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4</v>
      </c>
      <c r="AL28" s="123"/>
    </row>
    <row r="29" spans="1:38" s="27" customFormat="1" hidden="1" x14ac:dyDescent="0.2">
      <c r="A29" s="99"/>
      <c r="B29" s="124" t="s">
        <v>53</v>
      </c>
      <c r="C29" s="118">
        <f>IF(C28 = 0,
0,
IF(C26 = (C$6+D$6),1,0))</f>
        <v>0</v>
      </c>
      <c r="D29" s="118">
        <f>IF(D28 = 0,
0,
IF(D26 = (C$6+D$6),1,0))</f>
        <v>0</v>
      </c>
      <c r="E29" s="118">
        <f>IF(E28 = 0,
0,
IF(E26 = (E$6+F$6),1,0))</f>
        <v>0</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1</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6</v>
      </c>
      <c r="B30" s="84" t="s">
        <v>69</v>
      </c>
      <c r="C30" s="46">
        <v>5</v>
      </c>
      <c r="D30" s="45"/>
      <c r="E30" s="210">
        <v>7</v>
      </c>
      <c r="F30" s="45"/>
      <c r="G30" s="48">
        <v>5</v>
      </c>
      <c r="H30" s="47"/>
      <c r="I30" s="44">
        <v>6</v>
      </c>
      <c r="J30" s="47"/>
      <c r="K30" s="49">
        <v>5</v>
      </c>
      <c r="L30" s="47"/>
      <c r="M30" s="44">
        <v>6</v>
      </c>
      <c r="N30" s="45"/>
      <c r="O30" s="44">
        <v>5</v>
      </c>
      <c r="P30" s="45"/>
      <c r="Q30" s="213">
        <v>7</v>
      </c>
      <c r="R30" s="50"/>
      <c r="S30" s="122">
        <f>SUM(C31:R31)</f>
        <v>39</v>
      </c>
      <c r="T30" s="46"/>
      <c r="U30" s="47">
        <v>6</v>
      </c>
      <c r="V30" s="44">
        <v>6</v>
      </c>
      <c r="W30" s="47"/>
      <c r="X30" s="49"/>
      <c r="Y30" s="45">
        <v>6</v>
      </c>
      <c r="Z30" s="48">
        <v>7</v>
      </c>
      <c r="AA30" s="47"/>
      <c r="AB30" s="122">
        <f>SUM(T31:AA31)</f>
        <v>6</v>
      </c>
      <c r="AC30" s="48"/>
      <c r="AD30" s="47"/>
      <c r="AE30" s="49"/>
      <c r="AF30" s="47"/>
      <c r="AG30" s="122">
        <f>SUM(AC31:AF31)</f>
        <v>0</v>
      </c>
      <c r="AH30" s="102"/>
      <c r="AI30" s="57"/>
      <c r="AJ30" s="122">
        <f>AH31</f>
        <v>0</v>
      </c>
      <c r="AK30" s="111">
        <f>MAX($AL$10:$AL$97) - AL30</f>
        <v>13</v>
      </c>
      <c r="AL30" s="122">
        <f>$S30+$AB30+$AG30+$AJ30</f>
        <v>45</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11</v>
      </c>
      <c r="F31" s="76"/>
      <c r="G31" s="77">
        <f>(IF($G30&lt;&gt;"",($G$6*$O$104)+IF($G$6=4,($O$102)+IF($G30=$G$6+$H$6,$O$103,0),0),0)+IF($H30&lt;&gt;"",($H$6*$O$104)+IF($H$6=4,($O$102)+IF($H30=$G$6+$H$6,$O$103,0),0),0))</f>
        <v>3</v>
      </c>
      <c r="H31" s="76"/>
      <c r="I31" s="77">
        <f>(IF($I30&lt;&gt;"",($I$6*$O$104)+IF($I$6=4,($O$102)+IF($I30=$I$6+$J$6,$O$103,0),0),0)+IF($J30&lt;&gt;"",($J$6*$O$104)+IF($J$6=4,($O$102)+IF($J30=$I$6+$J$6,$O$103,0),0),0))</f>
        <v>9</v>
      </c>
      <c r="J31" s="78"/>
      <c r="K31" s="79">
        <f>(IF($K30&lt;&gt;"",($K$6*$O$104)+IF($K$6=4,($O$102)+IF($K30=$K$6+$L$6,$O$103,0),0),0)+IF($L30&lt;&gt;"",($L$6*$O$104)+IF($L$6=4,($O$102)+IF($L30=$K$6+$L$6,$O$103,0),0),0))</f>
        <v>1</v>
      </c>
      <c r="L31" s="76"/>
      <c r="M31" s="77">
        <f>(IF($M30&lt;&gt;"",($M$6*$O$104)+IF($M$6=4,($O$102)+IF($M30=$M$6+$N$6,$O$103,0),0),0)+IF($N30&lt;&gt;"",($N$6*$O$104)+IF($N$6=4,($O$102)+IF($N30=$M$6+$N$6,$O$103,0),0),0))</f>
        <v>2</v>
      </c>
      <c r="N31" s="76"/>
      <c r="O31" s="77">
        <f>(IF($O30&lt;&gt;"",($O$6*$O$104)+IF($O$6=4,($O$102)+IF($O30=$O$6+$P$6,$O$103,0),0),0)+IF($P30&lt;&gt;"",($P$6*$O$104)+IF($P$6=4,($O$102)+IF($P30=$O$6+$P$6,$O$103,0),0),0))</f>
        <v>2</v>
      </c>
      <c r="P31" s="76"/>
      <c r="Q31" s="77">
        <f>(IF($Q30&lt;&gt;"",($Q$6*$O$104)+IF($Q$6=4,($O$102)+IF($Q30=$Q$6+$R$6,$O$103,0),0),0)+IF($R30&lt;&gt;"",($R$6*$O$104)+IF($R$6=4,($O$102)+IF($R30=$Q$6+$R$6,$O$103,0),0),0))</f>
        <v>11</v>
      </c>
      <c r="R31" s="80"/>
      <c r="S31" s="121"/>
      <c r="T31" s="126">
        <f>(IF($T30&lt;&gt;"",($T$6*$P$104)+IF($T$6=4,($P$102)+IF($T30=$T$6+$U$6,$P$103,0),0),0)+IF($U30&lt;&gt;"",($U$6*$P$104)+IF($U$6=4,($P$102)+IF($U30=$T$6+$U$6,$P$103,0),0),0))</f>
        <v>2</v>
      </c>
      <c r="U31" s="126"/>
      <c r="V31" s="126">
        <f>(IF($V30&lt;&gt;"",($V$6*$P$104)+IF($V$6=4,($P$102)+IF($V30=$V$6+$W$6,$P$103,0),0),0)+IF($W30&lt;&gt;"",($W$6*$P$104)+IF($W$6=4,($P$102)+IF($W30=$V$6+$W$6,$P$103,0),0),0))</f>
        <v>0</v>
      </c>
      <c r="W31" s="126"/>
      <c r="X31" s="126">
        <f>(IF($X30&lt;&gt;"",($X$6*$P$104)+IF($X$6=4,($P$102)+IF($X30=$X$6+$Y$6,$P$103,0),0),0)+IF($Y30&lt;&gt;"",($Y$6*$P$104)+IF($Y$6=4,($P$102)+IF($Y30=$X$6+$Y$6,$P$103,0),0),0))</f>
        <v>2</v>
      </c>
      <c r="Y31" s="59"/>
      <c r="Z31" s="126">
        <f>(IF($Z30&lt;&gt;"",($Z$6*$P$104)+IF($Z$6=4,($P$102)+IF($Z30=$Z$6+$AA$6,$P$103,0),0),0)+IF($AA30&lt;&gt;"",($AA$6*$P$104)+IF($AA$6=4,($P$102)+IF($AA30=$Z$6+$AA$6,$P$103,0),0),0))</f>
        <v>2</v>
      </c>
      <c r="AA31" s="62"/>
      <c r="AB31" s="121"/>
      <c r="AC31" s="85"/>
      <c r="AD31" s="60"/>
      <c r="AE31" s="61"/>
      <c r="AF31" s="85"/>
      <c r="AG31" s="121"/>
      <c r="AH31" s="85"/>
      <c r="AI31" s="62"/>
      <c r="AJ31" s="121"/>
      <c r="AK31" s="92">
        <f>MAX($AL$10:$AL$97) - AL31</f>
        <v>58</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0</v>
      </c>
      <c r="I32" s="118">
        <f>IF(ISBLANK(I30),
0,
IF(I$6= 4, 1, 0))</f>
        <v>1</v>
      </c>
      <c r="J32" s="118">
        <f>IF(ISBLANK(J30),
0,
IF(J$6 = 4, 1, 0))</f>
        <v>0</v>
      </c>
      <c r="K32" s="118">
        <f>IF(ISBLANK(K30),
0,
IF(K$6= 4, 1, 0))</f>
        <v>0</v>
      </c>
      <c r="L32" s="118">
        <f>IF(ISBLANK(L30),
0,
IF(L$6 = 4, 1, 0))</f>
        <v>0</v>
      </c>
      <c r="M32" s="118">
        <f>IF(ISBLANK(M30),
0,
IF(M$6= 4, 1, 0))</f>
        <v>0</v>
      </c>
      <c r="N32" s="118">
        <f>IF(ISBLANK(N30),
0,
IF(N$6 = 4, 1, 0))</f>
        <v>0</v>
      </c>
      <c r="O32" s="118">
        <f>IF(ISBLANK(O30),
0,
IF(O$6= 4, 1, 0))</f>
        <v>0</v>
      </c>
      <c r="P32" s="118">
        <f>IF(ISBLANK(P30),
0,
IF(P$6 = 4, 1, 0))</f>
        <v>0</v>
      </c>
      <c r="Q32" s="118">
        <f>IF(ISBLANK(Q30),
0,
IF(Q$6= 4, 1, 0))</f>
        <v>1</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1</v>
      </c>
      <c r="F33" s="118">
        <f>IF(F32 = 0,
0,
IF(F30 = (E$6+F$6),1,0))</f>
        <v>0</v>
      </c>
      <c r="G33" s="118">
        <f>IF(G32 = 0,
0,
IF(G30 = (G$6+H$6),1,0))</f>
        <v>0</v>
      </c>
      <c r="H33" s="118">
        <f>IF(H32 = 0,
0,
IF(H30 = (G$6+H$6),1,0))</f>
        <v>0</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1</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2</v>
      </c>
      <c r="AL33" s="123"/>
    </row>
    <row r="34" spans="1:38" s="27" customFormat="1" ht="12.75" customHeight="1" x14ac:dyDescent="0.2">
      <c r="A34" s="216">
        <f>RANK(AL34,$AL$10:$AL$97,)</f>
        <v>7</v>
      </c>
      <c r="B34" s="217" t="s">
        <v>71</v>
      </c>
      <c r="C34" s="229">
        <v>5</v>
      </c>
      <c r="D34" s="230"/>
      <c r="E34" s="231">
        <v>7</v>
      </c>
      <c r="F34" s="230"/>
      <c r="G34" s="232">
        <v>6</v>
      </c>
      <c r="H34" s="233"/>
      <c r="I34" s="234">
        <v>6</v>
      </c>
      <c r="J34" s="233"/>
      <c r="K34" s="235">
        <v>4</v>
      </c>
      <c r="L34" s="233"/>
      <c r="M34" s="234">
        <v>5</v>
      </c>
      <c r="N34" s="230"/>
      <c r="O34" s="234"/>
      <c r="P34" s="230">
        <v>7</v>
      </c>
      <c r="Q34" s="232"/>
      <c r="R34" s="237">
        <v>7</v>
      </c>
      <c r="S34" s="239">
        <f>SUM(C35:R35)</f>
        <v>38</v>
      </c>
      <c r="T34" s="229"/>
      <c r="U34" s="233">
        <v>6</v>
      </c>
      <c r="V34" s="234">
        <v>5</v>
      </c>
      <c r="W34" s="233"/>
      <c r="X34" s="235"/>
      <c r="Y34" s="230">
        <v>5</v>
      </c>
      <c r="Z34" s="232">
        <v>7</v>
      </c>
      <c r="AA34" s="233"/>
      <c r="AB34" s="239">
        <f>SUM(T35:AA35)</f>
        <v>6</v>
      </c>
      <c r="AC34" s="232"/>
      <c r="AD34" s="242"/>
      <c r="AE34" s="235"/>
      <c r="AF34" s="233"/>
      <c r="AG34" s="239">
        <f>SUM(AC35:AF35)</f>
        <v>0</v>
      </c>
      <c r="AH34" s="245"/>
      <c r="AI34" s="227"/>
      <c r="AJ34" s="239">
        <f>AH35</f>
        <v>0</v>
      </c>
      <c r="AK34" s="241">
        <f>MAX($AL$10:$AL$97) - AL34</f>
        <v>14</v>
      </c>
      <c r="AL34" s="239">
        <f>$S34+$AB34+$AG34+$AJ34</f>
        <v>44</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11</v>
      </c>
      <c r="F35" s="76"/>
      <c r="G35" s="77">
        <f>(IF($G34&lt;&gt;"",($G$6*$O$104)+IF($G$6=4,($O$102)+IF($G34=$G$6+$H$6,$O$103,0),0),0)+IF($H34&lt;&gt;"",($H$6*$O$104)+IF($H$6=4,($O$102)+IF($H34=$G$6+$H$6,$O$103,0),0),0))</f>
        <v>3</v>
      </c>
      <c r="H35" s="76"/>
      <c r="I35" s="77">
        <f>(IF($I34&lt;&gt;"",($I$6*$O$104)+IF($I$6=4,($O$102)+IF($I34=$I$6+$J$6,$O$103,0),0),0)+IF($J34&lt;&gt;"",($J$6*$O$104)+IF($J$6=4,($O$102)+IF($J34=$I$6+$J$6,$O$103,0),0),0))</f>
        <v>9</v>
      </c>
      <c r="J35" s="78"/>
      <c r="K35" s="79">
        <f>(IF($K34&lt;&gt;"",($K$6*$O$104)+IF($K$6=4,($O$102)+IF($K34=$K$6+$L$6,$O$103,0),0),0)+IF($L34&lt;&gt;"",($L$6*$O$104)+IF($L$6=4,($O$102)+IF($L34=$K$6+$L$6,$O$103,0),0),0))</f>
        <v>1</v>
      </c>
      <c r="L35" s="76"/>
      <c r="M35" s="77">
        <f>(IF($M34&lt;&gt;"",($M$6*$O$104)+IF($M$6=4,($O$102)+IF($M34=$M$6+$N$6,$O$103,0),0),0)+IF($N34&lt;&gt;"",($N$6*$O$104)+IF($N$6=4,($O$102)+IF($N34=$M$6+$N$6,$O$103,0),0),0))</f>
        <v>2</v>
      </c>
      <c r="N35" s="76"/>
      <c r="O35" s="77">
        <f>(IF($O34&lt;&gt;"",($O$6*$O$104)+IF($O$6=4,($O$102)+IF($O34=$O$6+$P$6,$O$103,0),0),0)+IF($P34&lt;&gt;"",($P$6*$O$104)+IF($P$6=4,($O$102)+IF($P34=$O$6+$P$6,$O$103,0),0),0))</f>
        <v>9</v>
      </c>
      <c r="P35" s="76"/>
      <c r="Q35" s="77">
        <f>(IF($Q34&lt;&gt;"",($Q$6*$O$104)+IF($Q$6=4,($O$102)+IF($Q34=$Q$6+$R$6,$O$103,0),0),0)+IF($R34&lt;&gt;"",($R$6*$O$104)+IF($R$6=4,($O$102)+IF($R34=$Q$6+$R$6,$O$103,0),0),0))</f>
        <v>3</v>
      </c>
      <c r="R35" s="80"/>
      <c r="S35" s="121"/>
      <c r="T35" s="126">
        <f>(IF($T34&lt;&gt;"",($T$6*$P$104)+IF($T$6=4,($P$102)+IF($T34=$T$6+$U$6,$P$103,0),0),0)+IF($U34&lt;&gt;"",($U$6*$P$104)+IF($U$6=4,($P$102)+IF($U34=$T$6+$U$6,$P$103,0),0),0))</f>
        <v>2</v>
      </c>
      <c r="U35" s="126"/>
      <c r="V35" s="126">
        <f>(IF($V34&lt;&gt;"",($V$6*$P$104)+IF($V$6=4,($P$102)+IF($V34=$V$6+$W$6,$P$103,0),0),0)+IF($W34&lt;&gt;"",($W$6*$P$104)+IF($W$6=4,($P$102)+IF($W34=$V$6+$W$6,$P$103,0),0),0))</f>
        <v>0</v>
      </c>
      <c r="W35" s="126"/>
      <c r="X35" s="126">
        <f>(IF($X34&lt;&gt;"",($X$6*$P$104)+IF($X$6=4,($P$102)+IF($X34=$X$6+$Y$6,$P$103,0),0),0)+IF($Y34&lt;&gt;"",($Y$6*$P$104)+IF($Y$6=4,($P$102)+IF($Y34=$X$6+$Y$6,$P$103,0),0),0))</f>
        <v>2</v>
      </c>
      <c r="Y35" s="59"/>
      <c r="Z35" s="126">
        <f>(IF($Z34&lt;&gt;"",($Z$6*$P$104)+IF($Z$6=4,($P$102)+IF($Z34=$Z$6+$AA$6,$P$103,0),0),0)+IF($AA34&lt;&gt;"",($AA$6*$P$104)+IF($AA$6=4,($P$102)+IF($AA34=$Z$6+$AA$6,$P$103,0),0),0))</f>
        <v>2</v>
      </c>
      <c r="AA35" s="62"/>
      <c r="AB35" s="121"/>
      <c r="AC35" s="85"/>
      <c r="AD35" s="60"/>
      <c r="AE35" s="61"/>
      <c r="AF35" s="85"/>
      <c r="AG35" s="121"/>
      <c r="AH35" s="85"/>
      <c r="AI35" s="62"/>
      <c r="AJ35" s="121"/>
      <c r="AK35" s="92">
        <f>MAX($AL$10:$AL$97) - AL35</f>
        <v>58</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0</v>
      </c>
      <c r="I36" s="118">
        <f>IF(ISBLANK(I34),
0,
IF(I$6= 4, 1, 0))</f>
        <v>1</v>
      </c>
      <c r="J36" s="118">
        <f>IF(ISBLANK(J34),
0,
IF(J$6 = 4, 1, 0))</f>
        <v>0</v>
      </c>
      <c r="K36" s="118">
        <f>IF(ISBLANK(K34),
0,
IF(K$6= 4, 1, 0))</f>
        <v>0</v>
      </c>
      <c r="L36" s="118">
        <f>IF(ISBLANK(L34),
0,
IF(L$6 = 4, 1, 0))</f>
        <v>0</v>
      </c>
      <c r="M36" s="118">
        <f>IF(ISBLANK(M34),
0,
IF(M$6= 4, 1, 0))</f>
        <v>0</v>
      </c>
      <c r="N36" s="118">
        <f>IF(ISBLANK(N34),
0,
IF(N$6 = 4, 1, 0))</f>
        <v>0</v>
      </c>
      <c r="O36" s="118">
        <f>IF(ISBLANK(O34),
0,
IF(O$6= 4, 1, 0))</f>
        <v>0</v>
      </c>
      <c r="P36" s="118">
        <f>IF(ISBLANK(P34),
0,
IF(P$6 = 4, 1, 0))</f>
        <v>1</v>
      </c>
      <c r="Q36" s="118">
        <f>IF(ISBLANK(Q34),
0,
IF(Q$6= 4, 1, 0))</f>
        <v>0</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1</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1</v>
      </c>
      <c r="AL37" s="123"/>
    </row>
    <row r="38" spans="1:38" s="27" customFormat="1" ht="12.75" customHeight="1" x14ac:dyDescent="0.2">
      <c r="A38" s="117">
        <f>RANK(AL38,$AL$10:$AL$97,)</f>
        <v>8</v>
      </c>
      <c r="B38" s="84" t="s">
        <v>76</v>
      </c>
      <c r="C38" s="46">
        <v>6</v>
      </c>
      <c r="D38" s="45"/>
      <c r="E38" s="210">
        <v>7</v>
      </c>
      <c r="F38" s="45"/>
      <c r="G38" s="48">
        <v>6</v>
      </c>
      <c r="H38" s="47"/>
      <c r="I38" s="44"/>
      <c r="J38" s="47">
        <v>7</v>
      </c>
      <c r="K38" s="49">
        <v>7</v>
      </c>
      <c r="L38" s="47"/>
      <c r="M38" s="44">
        <v>6</v>
      </c>
      <c r="N38" s="45"/>
      <c r="O38" s="44">
        <v>6</v>
      </c>
      <c r="P38" s="45"/>
      <c r="Q38" s="48"/>
      <c r="R38" s="50">
        <v>7</v>
      </c>
      <c r="S38" s="122">
        <f>SUM(C39:R39)</f>
        <v>22</v>
      </c>
      <c r="T38" s="46"/>
      <c r="U38" s="47">
        <v>7</v>
      </c>
      <c r="V38" s="44"/>
      <c r="W38" s="47">
        <v>7</v>
      </c>
      <c r="X38" s="49">
        <v>7</v>
      </c>
      <c r="Y38" s="45"/>
      <c r="Z38" s="48">
        <v>7</v>
      </c>
      <c r="AA38" s="47"/>
      <c r="AB38" s="122">
        <f>SUM(T39:AA39)</f>
        <v>20</v>
      </c>
      <c r="AC38" s="48"/>
      <c r="AD38" s="47"/>
      <c r="AE38" s="49"/>
      <c r="AF38" s="47"/>
      <c r="AG38" s="122">
        <f>SUM(AC39:AF39)</f>
        <v>0</v>
      </c>
      <c r="AH38" s="102"/>
      <c r="AI38" s="57"/>
      <c r="AJ38" s="122">
        <f>AH39</f>
        <v>0</v>
      </c>
      <c r="AK38" s="111">
        <f>MAX($AL$10:$AL$97) - AL38</f>
        <v>16</v>
      </c>
      <c r="AL38" s="122">
        <f>$S38+$AB38+$AG38+$AJ38</f>
        <v>42</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11</v>
      </c>
      <c r="F39" s="76"/>
      <c r="G39" s="119">
        <f>(IF($G38&lt;&gt;"",($G$6*$O$104)+IF($G$6=4,($O$102)+IF($G38=$G$6+$H$6,$O$103,0),0),0)+IF($H38&lt;&gt;"",($H$6*$O$104)+IF($H$6=4,($O$102)+IF($H38=$G$6+$H$6,$O$103,0),0),0))</f>
        <v>3</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2</v>
      </c>
      <c r="N39" s="76"/>
      <c r="O39" s="77">
        <f>(IF($O38&lt;&gt;"",($O$6*$O$104)+IF($O$6=4,($O$102)+IF($O38=$O$6+$P$6,$O$103,0),0),0)+IF($P38&lt;&gt;"",($P$6*$O$104)+IF($P$6=4,($O$102)+IF($P38=$O$6+$P$6,$O$103,0),0),0))</f>
        <v>2</v>
      </c>
      <c r="P39" s="76"/>
      <c r="Q39" s="77">
        <f>(IF($Q38&lt;&gt;"",($Q$6*$O$104)+IF($Q$6=4,($O$102)+IF($Q38=$Q$6+$R$6,$O$103,0),0),0)+IF($R38&lt;&gt;"",($R$6*$O$104)+IF($R$6=4,($O$102)+IF($R38=$Q$6+$R$6,$O$103,0),0),0))</f>
        <v>3</v>
      </c>
      <c r="R39" s="80"/>
      <c r="S39" s="121"/>
      <c r="T39" s="126">
        <f>(IF($T38&lt;&gt;"",($T$6*$P$104)+IF($T$6=4,($P$102)+IF($T38=$T$6+$U$6,$P$103,0),0),0)+IF($U38&lt;&gt;"",($U$6*$P$104)+IF($U$6=4,($P$102)+IF($U38=$T$6+$U$6,$P$103,0),0),0))</f>
        <v>2</v>
      </c>
      <c r="U39" s="126"/>
      <c r="V39" s="126">
        <f>(IF($V38&lt;&gt;"",($V$6*$P$104)+IF($V$6=4,($P$102)+IF($V38=$V$6+$W$6,$P$103,0),0),0)+IF($W38&lt;&gt;"",($W$6*$P$104)+IF($W$6=4,($P$102)+IF($W38=$V$6+$W$6,$P$103,0),0),0))</f>
        <v>14</v>
      </c>
      <c r="W39" s="126"/>
      <c r="X39" s="126">
        <f>(IF($X38&lt;&gt;"",($X$6*$P$104)+IF($X$6=4,($P$102)+IF($X38=$X$6+$Y$6,$P$103,0),0),0)+IF($Y38&lt;&gt;"",($Y$6*$P$104)+IF($Y$6=4,($P$102)+IF($Y38=$X$6+$Y$6,$P$103,0),0),0))</f>
        <v>2</v>
      </c>
      <c r="Y39" s="59"/>
      <c r="Z39" s="126">
        <f>(IF($Z38&lt;&gt;"",($Z$6*$P$104)+IF($Z$6=4,($P$102)+IF($Z38=$Z$6+$AA$6,$P$103,0),0),0)+IF($AA38&lt;&gt;"",($AA$6*$P$104)+IF($AA$6=4,($P$102)+IF($AA38=$Z$6+$AA$6,$P$103,0),0),0))</f>
        <v>2</v>
      </c>
      <c r="AA39" s="62"/>
      <c r="AB39" s="121"/>
      <c r="AC39" s="85"/>
      <c r="AD39" s="60"/>
      <c r="AE39" s="61"/>
      <c r="AF39" s="85"/>
      <c r="AG39" s="121"/>
      <c r="AH39" s="85"/>
      <c r="AI39" s="62"/>
      <c r="AJ39" s="121"/>
      <c r="AK39" s="92">
        <f>MAX($AL$10:$AL$97) - AL39</f>
        <v>58</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0</v>
      </c>
      <c r="I40" s="118">
        <f>IF(ISBLANK(I38),
0,
IF(I$6= 4, 1, 0))</f>
        <v>0</v>
      </c>
      <c r="J40" s="118">
        <f>IF(ISBLANK(J38),
0,
IF(J$6 = 4, 1, 0))</f>
        <v>0</v>
      </c>
      <c r="K40" s="118">
        <f>IF(ISBLANK(K38),
0,
IF(K$6= 4, 1, 0))</f>
        <v>0</v>
      </c>
      <c r="L40" s="118">
        <f>IF(ISBLANK(L38),
0,
IF(L$6 = 4, 1, 0))</f>
        <v>0</v>
      </c>
      <c r="M40" s="118">
        <f>IF(ISBLANK(M38),
0,
IF(M$6= 4, 1, 0))</f>
        <v>0</v>
      </c>
      <c r="N40" s="118">
        <f>IF(ISBLANK(N38),
0,
IF(N$6 = 4, 1, 0))</f>
        <v>0</v>
      </c>
      <c r="O40" s="118">
        <f>IF(ISBLANK(O38),
0,
IF(O$6= 4, 1, 0))</f>
        <v>0</v>
      </c>
      <c r="P40" s="118">
        <f>IF(ISBLANK(P38),
0,
IF(P$6 = 4, 1, 0))</f>
        <v>0</v>
      </c>
      <c r="Q40" s="118">
        <f>IF(ISBLANK(Q38),
0,
IF(Q$6= 4, 1, 0))</f>
        <v>0</v>
      </c>
      <c r="R40" s="118">
        <f>IF(ISBLANK(R38),
0,
IF(R$6 = 4, 1, 0))</f>
        <v>0</v>
      </c>
      <c r="S40" s="138"/>
      <c r="T40" s="118">
        <f>IF(ISBLANK(T38),
0,
IF(T$6= 4, 1, 0))</f>
        <v>0</v>
      </c>
      <c r="U40" s="118">
        <f>IF(ISBLANK(U38),
0,
IF(U$6 = 4, 1, 0))</f>
        <v>0</v>
      </c>
      <c r="V40" s="118">
        <f>IF(ISBLANK(V38),
0,
IF(V$6= 4, 1, 0))</f>
        <v>0</v>
      </c>
      <c r="W40" s="118">
        <f>IF(ISBLANK(W38),
0,
IF(W$6 = 4, 1, 0))</f>
        <v>1</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2</v>
      </c>
      <c r="AL40" s="123"/>
    </row>
    <row r="41" spans="1:38" s="27" customFormat="1" hidden="1" x14ac:dyDescent="0.2">
      <c r="A41" s="99"/>
      <c r="B41" s="124" t="s">
        <v>53</v>
      </c>
      <c r="C41" s="118">
        <f>IF(C40 = 0,
0,
IF(C38 = (C$6+D$6),1,0))</f>
        <v>0</v>
      </c>
      <c r="D41" s="118">
        <f>IF(D40 = 0,
0,
IF(D38 = (C$6+D$6),1,0))</f>
        <v>0</v>
      </c>
      <c r="E41" s="118">
        <f>IF(E40 = 0,
0,
IF(E38 = (E$6+F$6),1,0))</f>
        <v>1</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0</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1</v>
      </c>
      <c r="AL41" s="123"/>
    </row>
    <row r="42" spans="1:38" s="27" customFormat="1" ht="12.75" customHeight="1" x14ac:dyDescent="0.2">
      <c r="A42" s="216">
        <f>RANK(AL42,$AL$10:$AL$97,)</f>
        <v>9</v>
      </c>
      <c r="B42" s="217" t="s">
        <v>82</v>
      </c>
      <c r="C42" s="229">
        <v>6</v>
      </c>
      <c r="D42" s="230"/>
      <c r="E42" s="234">
        <v>6</v>
      </c>
      <c r="F42" s="230"/>
      <c r="G42" s="232">
        <v>6</v>
      </c>
      <c r="H42" s="233"/>
      <c r="I42" s="234"/>
      <c r="J42" s="233">
        <v>7</v>
      </c>
      <c r="K42" s="235">
        <v>5</v>
      </c>
      <c r="L42" s="233"/>
      <c r="M42" s="234">
        <v>7</v>
      </c>
      <c r="N42" s="230"/>
      <c r="O42" s="234">
        <v>6</v>
      </c>
      <c r="P42" s="230"/>
      <c r="Q42" s="232"/>
      <c r="R42" s="237">
        <v>6</v>
      </c>
      <c r="S42" s="239">
        <f>SUM(C43:R43)</f>
        <v>20</v>
      </c>
      <c r="T42" s="229"/>
      <c r="U42" s="233">
        <v>6</v>
      </c>
      <c r="V42" s="234"/>
      <c r="W42" s="233">
        <v>6</v>
      </c>
      <c r="X42" s="235"/>
      <c r="Y42" s="230">
        <v>7</v>
      </c>
      <c r="Z42" s="232"/>
      <c r="AA42" s="233">
        <v>6</v>
      </c>
      <c r="AB42" s="239">
        <f>SUM(T43:AA43)</f>
        <v>21</v>
      </c>
      <c r="AC42" s="232"/>
      <c r="AD42" s="233"/>
      <c r="AE42" s="235"/>
      <c r="AF42" s="233"/>
      <c r="AG42" s="239">
        <f>SUM(AC43:AF43)</f>
        <v>0</v>
      </c>
      <c r="AH42" s="245"/>
      <c r="AI42" s="227"/>
      <c r="AJ42" s="239">
        <f>AH43</f>
        <v>0</v>
      </c>
      <c r="AK42" s="241">
        <f>MAX($AL$10:$AL$97) - AL42</f>
        <v>17</v>
      </c>
      <c r="AL42" s="239">
        <f>$S42+$AB42+$AG42+$AJ42</f>
        <v>41</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9</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1</v>
      </c>
      <c r="L43" s="76"/>
      <c r="M43" s="77">
        <f>(IF($M42&lt;&gt;"",($M$6*$O$104)+IF($M$6=4,($O$102)+IF($M42=$M$6+$N$6,$O$103,0),0),0)+IF($N42&lt;&gt;"",($N$6*$O$104)+IF($N$6=4,($O$102)+IF($N42=$M$6+$N$6,$O$103,0),0),0))</f>
        <v>2</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2</v>
      </c>
      <c r="U43" s="126"/>
      <c r="V43" s="126">
        <f>(IF($V42&lt;&gt;"",($V$6*$P$104)+IF($V$6=4,($P$102)+IF($V42=$V$6+$W$6,$P$103,0),0),0)+IF($W42&lt;&gt;"",($W$6*$P$104)+IF($W$6=4,($P$102)+IF($W42=$V$6+$W$6,$P$103,0),0),0))</f>
        <v>14</v>
      </c>
      <c r="W43" s="126"/>
      <c r="X43" s="126">
        <f>(IF($X42&lt;&gt;"",($X$6*$P$104)+IF($X$6=4,($P$102)+IF($X42=$X$6+$Y$6,$P$103,0),0),0)+IF($Y42&lt;&gt;"",($Y$6*$P$104)+IF($Y$6=4,($P$102)+IF($Y42=$X$6+$Y$6,$P$103,0),0),0))</f>
        <v>2</v>
      </c>
      <c r="Y43" s="59"/>
      <c r="Z43" s="126">
        <f>(IF($Z42&lt;&gt;"",($Z$6*$P$104)+IF($Z$6=4,($P$102)+IF($Z42=$Z$6+$AA$6,$P$103,0),0),0)+IF($AA42&lt;&gt;"",($AA$6*$P$104)+IF($AA$6=4,($P$102)+IF($AA42=$Z$6+$AA$6,$P$103,0),0),0))</f>
        <v>3</v>
      </c>
      <c r="AA43" s="62"/>
      <c r="AB43" s="121"/>
      <c r="AC43" s="85"/>
      <c r="AD43" s="60"/>
      <c r="AE43" s="61"/>
      <c r="AF43" s="85"/>
      <c r="AG43" s="121"/>
      <c r="AH43" s="85"/>
      <c r="AI43" s="62"/>
      <c r="AJ43" s="121"/>
      <c r="AK43" s="111">
        <f>MAX($AL$10:$AL$97) - AL43</f>
        <v>58</v>
      </c>
      <c r="AL43" s="121"/>
    </row>
    <row r="44" spans="1:38" s="27" customFormat="1" hidden="1" x14ac:dyDescent="0.2">
      <c r="A44" s="99"/>
      <c r="B44" s="124" t="s">
        <v>52</v>
      </c>
      <c r="C44" s="118">
        <f>IF(ISBLANK(C42),
0,
IF(C$6= 4, 1, 0))</f>
        <v>0</v>
      </c>
      <c r="D44" s="118">
        <f>IF(ISBLANK(D42),
0,
IF(D$6 = 4, 1, 0))</f>
        <v>0</v>
      </c>
      <c r="E44" s="118">
        <f>IF(ISBLANK(E42),
0,
IF(E$6= 4, 1, 0))</f>
        <v>1</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0</v>
      </c>
      <c r="M44" s="118">
        <f>IF(ISBLANK(M42),
0,
IF(M$6= 4, 1, 0))</f>
        <v>0</v>
      </c>
      <c r="N44" s="137">
        <f>IF(ISBLANK(N42),
0,
IF(N$6 = 4, 1, 0))</f>
        <v>0</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1</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0</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0</v>
      </c>
      <c r="AL45" s="123"/>
    </row>
    <row r="46" spans="1:38" s="27" customFormat="1" ht="12.75" customHeight="1" x14ac:dyDescent="0.2">
      <c r="A46" s="117">
        <f>RANK(AL46,$AL$10:$AL$97,)</f>
        <v>9</v>
      </c>
      <c r="B46" s="84" t="s">
        <v>81</v>
      </c>
      <c r="C46" s="46">
        <v>6</v>
      </c>
      <c r="D46" s="45"/>
      <c r="E46" s="44">
        <v>5</v>
      </c>
      <c r="F46" s="45"/>
      <c r="G46" s="48">
        <v>7</v>
      </c>
      <c r="H46" s="47"/>
      <c r="I46" s="44"/>
      <c r="J46" s="47">
        <v>6</v>
      </c>
      <c r="K46" s="49">
        <v>6</v>
      </c>
      <c r="L46" s="47"/>
      <c r="M46" s="44"/>
      <c r="N46" s="45">
        <v>7</v>
      </c>
      <c r="O46" s="44">
        <v>6</v>
      </c>
      <c r="P46" s="45"/>
      <c r="Q46" s="213">
        <v>7</v>
      </c>
      <c r="R46" s="50"/>
      <c r="S46" s="122">
        <f>SUM(C47:R47)</f>
        <v>35</v>
      </c>
      <c r="T46" s="46"/>
      <c r="U46" s="47">
        <v>7</v>
      </c>
      <c r="V46" s="44">
        <v>6</v>
      </c>
      <c r="W46" s="47"/>
      <c r="X46" s="49"/>
      <c r="Y46" s="45">
        <v>7</v>
      </c>
      <c r="Z46" s="48">
        <v>6</v>
      </c>
      <c r="AA46" s="47"/>
      <c r="AB46" s="122">
        <f>SUM(T47:AA47)</f>
        <v>6</v>
      </c>
      <c r="AC46" s="48"/>
      <c r="AD46" s="47"/>
      <c r="AE46" s="49"/>
      <c r="AF46" s="47"/>
      <c r="AG46" s="122">
        <f>SUM(AC47:AF47)</f>
        <v>0</v>
      </c>
      <c r="AH46" s="102"/>
      <c r="AI46" s="57"/>
      <c r="AJ46" s="122">
        <f>AH47</f>
        <v>0</v>
      </c>
      <c r="AK46" s="111">
        <f>MAX($AL$10:$AL$97) - AL46</f>
        <v>17</v>
      </c>
      <c r="AL46" s="122">
        <f>$S46+$AB46+$AG46+$AJ46</f>
        <v>41</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9</v>
      </c>
      <c r="N47" s="76"/>
      <c r="O47" s="77">
        <f>(IF($O46&lt;&gt;"",($O$6*$O$104)+IF($O$6=4,($O$102)+IF($O46=$O$6+$P$6,$O$103,0),0),0)+IF($P46&lt;&gt;"",($P$6*$O$104)+IF($P$6=4,($O$102)+IF($P46=$O$6+$P$6,$O$103,0),0),0))</f>
        <v>2</v>
      </c>
      <c r="P47" s="76"/>
      <c r="Q47" s="77">
        <f>(IF($Q46&lt;&gt;"",($Q$6*$O$104)+IF($Q$6=4,($O$102)+IF($Q46=$Q$6+$R$6,$O$103,0),0),0)+IF($R46&lt;&gt;"",($R$6*$O$104)+IF($R$6=4,($O$102)+IF($R46=$Q$6+$R$6,$O$103,0),0),0))</f>
        <v>11</v>
      </c>
      <c r="R47" s="80"/>
      <c r="S47" s="121"/>
      <c r="T47" s="126">
        <f>(IF($T46&lt;&gt;"",($T$6*$P$104)+IF($T$6=4,($P$102)+IF($T46=$T$6+$U$6,$P$103,0),0),0)+IF($U46&lt;&gt;"",($U$6*$P$104)+IF($U$6=4,($P$102)+IF($U46=$T$6+$U$6,$P$103,0),0),0))</f>
        <v>2</v>
      </c>
      <c r="U47" s="126"/>
      <c r="V47" s="126">
        <f>(IF($V46&lt;&gt;"",($V$6*$P$104)+IF($V$6=4,($P$102)+IF($V46=$V$6+$W$6,$P$103,0),0),0)+IF($W46&lt;&gt;"",($W$6*$P$104)+IF($W$6=4,($P$102)+IF($W46=$V$6+$W$6,$P$103,0),0),0))</f>
        <v>0</v>
      </c>
      <c r="W47" s="126"/>
      <c r="X47" s="126">
        <f>(IF($X46&lt;&gt;"",($X$6*$P$104)+IF($X$6=4,($P$102)+IF($X46=$X$6+$Y$6,$P$103,0),0),0)+IF($Y46&lt;&gt;"",($Y$6*$P$104)+IF($Y$6=4,($P$102)+IF($Y46=$X$6+$Y$6,$P$103,0),0),0))</f>
        <v>2</v>
      </c>
      <c r="Y47" s="59"/>
      <c r="Z47" s="126">
        <f>(IF($Z46&lt;&gt;"",($Z$6*$P$104)+IF($Z$6=4,($P$102)+IF($Z46=$Z$6+$AA$6,$P$103,0),0),0)+IF($AA46&lt;&gt;"",($AA$6*$P$104)+IF($AA$6=4,($P$102)+IF($AA46=$Z$6+$AA$6,$P$103,0),0),0))</f>
        <v>2</v>
      </c>
      <c r="AA47" s="62"/>
      <c r="AB47" s="121"/>
      <c r="AC47" s="85"/>
      <c r="AD47" s="60"/>
      <c r="AE47" s="61"/>
      <c r="AF47" s="85"/>
      <c r="AG47" s="121"/>
      <c r="AH47" s="85"/>
      <c r="AI47" s="62"/>
      <c r="AJ47" s="121"/>
      <c r="AK47" s="111">
        <f>MAX($AL$10:$AL$97) - AL47</f>
        <v>58</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1</v>
      </c>
      <c r="O48" s="118">
        <f>IF(ISBLANK(O46),
0,
IF(O$6= 4, 1, 0))</f>
        <v>0</v>
      </c>
      <c r="P48" s="118">
        <f>IF(ISBLANK(P46),
0,
IF(P$6 = 4, 1, 0))</f>
        <v>0</v>
      </c>
      <c r="Q48" s="118">
        <f>IF(ISBLANK(Q46),
0,
IF(Q$6= 4, 1, 0))</f>
        <v>1</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3</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0</v>
      </c>
      <c r="O49" s="118">
        <f>IF(O48 = 0,
0,
IF(O46 = (O$6+P$6),1,0))</f>
        <v>0</v>
      </c>
      <c r="P49" s="118">
        <f>IF(P48 = 0,
0,
IF(P46 = (O$6+P$6),1,0))</f>
        <v>0</v>
      </c>
      <c r="Q49" s="118">
        <f>IF(Q48 = 0,
0,
IF(Q46 = (Q$6+R$6),1,0))</f>
        <v>1</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1</v>
      </c>
      <c r="AL49" s="123"/>
    </row>
    <row r="50" spans="1:38" s="27" customFormat="1" ht="12.75" customHeight="1" x14ac:dyDescent="0.2">
      <c r="A50" s="216">
        <f>RANK(AL50,$AL$10:$AL$97,)</f>
        <v>11</v>
      </c>
      <c r="B50" s="217" t="s">
        <v>67</v>
      </c>
      <c r="C50" s="229">
        <v>4</v>
      </c>
      <c r="D50" s="230"/>
      <c r="E50" s="234">
        <v>4</v>
      </c>
      <c r="F50" s="230"/>
      <c r="G50" s="232">
        <v>6</v>
      </c>
      <c r="H50" s="233"/>
      <c r="I50" s="234"/>
      <c r="J50" s="233">
        <v>6</v>
      </c>
      <c r="K50" s="235">
        <v>6</v>
      </c>
      <c r="L50" s="233"/>
      <c r="M50" s="234">
        <v>5</v>
      </c>
      <c r="N50" s="230"/>
      <c r="O50" s="234">
        <v>6</v>
      </c>
      <c r="P50" s="230"/>
      <c r="Q50" s="232"/>
      <c r="R50" s="237">
        <v>6</v>
      </c>
      <c r="S50" s="239">
        <f>SUM(C51:R51)</f>
        <v>20</v>
      </c>
      <c r="T50" s="229"/>
      <c r="U50" s="233">
        <v>6</v>
      </c>
      <c r="V50" s="234"/>
      <c r="W50" s="233">
        <v>7</v>
      </c>
      <c r="X50" s="235"/>
      <c r="Y50" s="230">
        <v>7</v>
      </c>
      <c r="Z50" s="232">
        <v>6</v>
      </c>
      <c r="AA50" s="233"/>
      <c r="AB50" s="239">
        <f>SUM(T51:AA51)</f>
        <v>20</v>
      </c>
      <c r="AC50" s="232"/>
      <c r="AD50" s="242"/>
      <c r="AE50" s="235"/>
      <c r="AF50" s="233"/>
      <c r="AG50" s="239">
        <f>SUM(AC51:AF51)</f>
        <v>0</v>
      </c>
      <c r="AH50" s="245"/>
      <c r="AI50" s="227"/>
      <c r="AJ50" s="239">
        <f>AH51</f>
        <v>0</v>
      </c>
      <c r="AK50" s="241">
        <f>MAX($AL$10:$AL$97) - AL50</f>
        <v>18</v>
      </c>
      <c r="AL50" s="239">
        <f>$S50+$AB50+$AG50+$AJ50</f>
        <v>40</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2</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2</v>
      </c>
      <c r="U51" s="126"/>
      <c r="V51" s="126">
        <f>(IF($V50&lt;&gt;"",($V$6*$P$104)+IF($V$6=4,($P$102)+IF($V50=$V$6+$W$6,$P$103,0),0),0)+IF($W50&lt;&gt;"",($W$6*$P$104)+IF($W$6=4,($P$102)+IF($W50=$V$6+$W$6,$P$103,0),0),0))</f>
        <v>14</v>
      </c>
      <c r="W51" s="126"/>
      <c r="X51" s="126">
        <f>(IF($X50&lt;&gt;"",($X$6*$P$104)+IF($X$6=4,($P$102)+IF($X50=$X$6+$Y$6,$P$103,0),0),0)+IF($Y50&lt;&gt;"",($Y$6*$P$104)+IF($Y$6=4,($P$102)+IF($Y50=$X$6+$Y$6,$P$103,0),0),0))</f>
        <v>2</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0</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1</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0</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0</v>
      </c>
      <c r="AL53" s="123"/>
    </row>
    <row r="54" spans="1:38" s="27" customFormat="1" ht="12.6" customHeight="1" x14ac:dyDescent="0.2">
      <c r="A54" s="117">
        <f>RANK(AL54,$AL$10:$AL$97,)</f>
        <v>12</v>
      </c>
      <c r="B54" s="84" t="s">
        <v>79</v>
      </c>
      <c r="C54" s="46">
        <v>6</v>
      </c>
      <c r="D54" s="45"/>
      <c r="E54" s="44"/>
      <c r="F54" s="45">
        <v>7</v>
      </c>
      <c r="G54" s="48">
        <v>6</v>
      </c>
      <c r="H54" s="47"/>
      <c r="I54" s="44"/>
      <c r="J54" s="47">
        <v>6</v>
      </c>
      <c r="K54" s="49"/>
      <c r="L54" s="47">
        <v>6</v>
      </c>
      <c r="M54" s="44"/>
      <c r="N54" s="211">
        <v>6</v>
      </c>
      <c r="O54" s="44">
        <v>5</v>
      </c>
      <c r="P54" s="45"/>
      <c r="Q54" s="48"/>
      <c r="R54" s="50">
        <v>6</v>
      </c>
      <c r="S54" s="122">
        <f>SUM(C55:R55)</f>
        <v>31</v>
      </c>
      <c r="T54" s="46"/>
      <c r="U54" s="47">
        <v>5</v>
      </c>
      <c r="V54" s="44">
        <v>6</v>
      </c>
      <c r="W54" s="47"/>
      <c r="X54" s="49">
        <v>6</v>
      </c>
      <c r="Y54" s="45"/>
      <c r="Z54" s="48"/>
      <c r="AA54" s="47">
        <v>6</v>
      </c>
      <c r="AB54" s="122">
        <f>SUM(T55:AA55)</f>
        <v>7</v>
      </c>
      <c r="AC54" s="48"/>
      <c r="AD54" s="47"/>
      <c r="AE54" s="49"/>
      <c r="AF54" s="47"/>
      <c r="AG54" s="122">
        <f>SUM(AC55:AF55)</f>
        <v>0</v>
      </c>
      <c r="AH54" s="102"/>
      <c r="AI54" s="57"/>
      <c r="AJ54" s="122">
        <f>AH55</f>
        <v>0</v>
      </c>
      <c r="AK54" s="111">
        <f>MAX($AL$10:$AL$97) - AL54</f>
        <v>20</v>
      </c>
      <c r="AL54" s="122">
        <f>$S54+$AB54+$AG54+$AJ54</f>
        <v>38</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3</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9</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2</v>
      </c>
      <c r="U55" s="126"/>
      <c r="V55" s="126">
        <f>(IF($V54&lt;&gt;"",($V$6*$P$104)+IF($V$6=4,($P$102)+IF($V54=$V$6+$W$6,$P$103,0),0),0)+IF($W54&lt;&gt;"",($W$6*$P$104)+IF($W$6=4,($P$102)+IF($W54=$V$6+$W$6,$P$103,0),0),0))</f>
        <v>0</v>
      </c>
      <c r="W55" s="126"/>
      <c r="X55" s="126">
        <f>(IF($X54&lt;&gt;"",($X$6*$P$104)+IF($X$6=4,($P$102)+IF($X54=$X$6+$Y$6,$P$103,0),0),0)+IF($Y54&lt;&gt;"",($Y$6*$P$104)+IF($Y$6=4,($P$102)+IF($Y54=$X$6+$Y$6,$P$103,0),0),0))</f>
        <v>2</v>
      </c>
      <c r="Y55" s="59"/>
      <c r="Z55" s="126">
        <f>(IF($Z54&lt;&gt;"",($Z$6*$P$104)+IF($Z$6=4,($P$102)+IF($Z54=$Z$6+$AA$6,$P$103,0),0),0)+IF($AA54&lt;&gt;"",($AA$6*$P$104)+IF($AA$6=4,($P$102)+IF($AA54=$Z$6+$AA$6,$P$103,0),0),0))</f>
        <v>3</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0</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1</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216">
        <f>RANK(AL58,$AL$10:$AL$97,)</f>
        <v>13</v>
      </c>
      <c r="B58" s="217" t="s">
        <v>65</v>
      </c>
      <c r="C58" s="229">
        <v>4</v>
      </c>
      <c r="D58" s="230"/>
      <c r="E58" s="234">
        <v>4</v>
      </c>
      <c r="F58" s="230"/>
      <c r="G58" s="232">
        <v>6</v>
      </c>
      <c r="H58" s="233"/>
      <c r="I58" s="234">
        <v>6</v>
      </c>
      <c r="J58" s="233"/>
      <c r="K58" s="235">
        <v>7</v>
      </c>
      <c r="L58" s="233"/>
      <c r="M58" s="234">
        <v>5</v>
      </c>
      <c r="N58" s="230"/>
      <c r="O58" s="234">
        <v>4</v>
      </c>
      <c r="P58" s="230"/>
      <c r="Q58" s="232"/>
      <c r="R58" s="237">
        <v>6</v>
      </c>
      <c r="S58" s="239">
        <f>SUM(C59:R59)</f>
        <v>29</v>
      </c>
      <c r="T58" s="229">
        <v>6</v>
      </c>
      <c r="U58" s="233"/>
      <c r="V58" s="234">
        <v>5</v>
      </c>
      <c r="W58" s="233"/>
      <c r="X58" s="235"/>
      <c r="Y58" s="230">
        <v>7</v>
      </c>
      <c r="Z58" s="232">
        <v>6</v>
      </c>
      <c r="AA58" s="233"/>
      <c r="AB58" s="239">
        <f>SUM(T59:AA59)</f>
        <v>6</v>
      </c>
      <c r="AC58" s="232"/>
      <c r="AD58" s="233"/>
      <c r="AE58" s="235"/>
      <c r="AF58" s="233"/>
      <c r="AG58" s="239">
        <f>SUM(AC59:AF59)</f>
        <v>0</v>
      </c>
      <c r="AH58" s="245"/>
      <c r="AI58" s="227"/>
      <c r="AJ58" s="239">
        <f>AH59</f>
        <v>0</v>
      </c>
      <c r="AK58" s="241">
        <f>MAX($AL$10:$AL$97) - AL58</f>
        <v>23</v>
      </c>
      <c r="AL58" s="239">
        <f>$S58+$AB58+$AG58+$AJ58</f>
        <v>35</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9</v>
      </c>
      <c r="F59" s="127"/>
      <c r="G59" s="125">
        <f>(IF($G58&lt;&gt;"",($G$6*$O$104)+IF($G$6=4,($O$102)+IF($G58=$G$6+$H$6,$O$103,0),0),0)+IF($H58&lt;&gt;"",($H$6*$O$104)+IF($H$6=4,($O$102)+IF($H58=$G$6+$H$6,$O$103,0),0),0))</f>
        <v>3</v>
      </c>
      <c r="H59" s="127"/>
      <c r="I59" s="128">
        <f>(IF($I58&lt;&gt;"",($I$6*$O$104)+IF($I$6=4,($O$102)+IF($I58=$I$6+$J$6,$O$103,0),0),0)+IF($J58&lt;&gt;"",($J$6*$O$104)+IF($J$6=4,($O$102)+IF($J58=$I$6+$J$6,$O$103,0),0),0))</f>
        <v>9</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3</v>
      </c>
      <c r="R59" s="131"/>
      <c r="S59" s="121"/>
      <c r="T59" s="126">
        <f>(IF($T58&lt;&gt;"",($T$6*$P$104)+IF($T$6=4,($P$102)+IF($T58=$T$6+$U$6,$P$103,0),0),0)+IF($U58&lt;&gt;"",($U$6*$P$104)+IF($U$6=4,($P$102)+IF($U58=$T$6+$U$6,$P$103,0),0),0))</f>
        <v>2</v>
      </c>
      <c r="U59" s="126"/>
      <c r="V59" s="126">
        <f>(IF($V58&lt;&gt;"",($V$6*$P$104)+IF($V$6=4,($P$102)+IF($V58=$V$6+$W$6,$P$103,0),0),0)+IF($W58&lt;&gt;"",($W$6*$P$104)+IF($W$6=4,($P$102)+IF($W58=$V$6+$W$6,$P$103,0),0),0))</f>
        <v>0</v>
      </c>
      <c r="W59" s="126"/>
      <c r="X59" s="126">
        <f>(IF($X58&lt;&gt;"",($X$6*$P$104)+IF($X$6=4,($P$102)+IF($X58=$X$6+$Y$6,$P$103,0),0),0)+IF($Y58&lt;&gt;"",($Y$6*$P$104)+IF($Y$6=4,($P$102)+IF($Y58=$X$6+$Y$6,$P$103,0),0),0))</f>
        <v>2</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1</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0</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0</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0</v>
      </c>
      <c r="AL61" s="123"/>
    </row>
    <row r="62" spans="1:38" s="27" customFormat="1" ht="12.6" customHeight="1" x14ac:dyDescent="0.2">
      <c r="A62" s="117">
        <f>RANK(AL62,$AL$10:$AL$97,)</f>
        <v>13</v>
      </c>
      <c r="B62" s="84" t="s">
        <v>85</v>
      </c>
      <c r="C62" s="46">
        <v>5</v>
      </c>
      <c r="D62" s="45"/>
      <c r="E62" s="44">
        <v>5</v>
      </c>
      <c r="F62" s="45"/>
      <c r="G62" s="48">
        <v>5</v>
      </c>
      <c r="H62" s="47"/>
      <c r="I62" s="44"/>
      <c r="J62" s="47">
        <v>6</v>
      </c>
      <c r="K62" s="49">
        <v>5</v>
      </c>
      <c r="L62" s="47"/>
      <c r="M62" s="44"/>
      <c r="N62" s="211">
        <v>6</v>
      </c>
      <c r="O62" s="44">
        <v>5</v>
      </c>
      <c r="P62" s="45"/>
      <c r="Q62" s="48"/>
      <c r="R62" s="50">
        <v>6</v>
      </c>
      <c r="S62" s="122">
        <f>SUM(C63:R63)</f>
        <v>29</v>
      </c>
      <c r="T62" s="46"/>
      <c r="U62" s="47">
        <v>6</v>
      </c>
      <c r="V62" s="44">
        <v>5</v>
      </c>
      <c r="W62" s="47"/>
      <c r="X62" s="49">
        <v>7</v>
      </c>
      <c r="Y62" s="45"/>
      <c r="Z62" s="48">
        <v>7</v>
      </c>
      <c r="AA62" s="47"/>
      <c r="AB62" s="122">
        <f>SUM(T63:AA63)</f>
        <v>6</v>
      </c>
      <c r="AC62" s="48"/>
      <c r="AD62" s="47"/>
      <c r="AE62" s="49"/>
      <c r="AF62" s="47"/>
      <c r="AG62" s="122">
        <f>SUM(AC63:AF63)</f>
        <v>0</v>
      </c>
      <c r="AH62" s="252"/>
      <c r="AI62" s="57"/>
      <c r="AJ62" s="122">
        <f>AH63</f>
        <v>0</v>
      </c>
      <c r="AK62" s="111">
        <f>MAX($AL$10:$AL$97) - AL62</f>
        <v>23</v>
      </c>
      <c r="AL62" s="122">
        <f>$S62+$AB62+$AG62+$AJ62</f>
        <v>35</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9</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11</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2</v>
      </c>
      <c r="U63" s="126"/>
      <c r="V63" s="126">
        <f>(IF($V62&lt;&gt;"",($V$6*$P$104)+IF($V$6=4,($P$102)+IF($V62=$V$6+$W$6,$P$103,0),0),0)+IF($W62&lt;&gt;"",($W$6*$P$104)+IF($W$6=4,($P$102)+IF($W62=$V$6+$W$6,$P$103,0),0),0))</f>
        <v>0</v>
      </c>
      <c r="W63" s="126"/>
      <c r="X63" s="126">
        <f>(IF($X62&lt;&gt;"",($X$6*$P$104)+IF($X$6=4,($P$102)+IF($X62=$X$6+$Y$6,$P$103,0),0),0)+IF($Y62&lt;&gt;"",($Y$6*$P$104)+IF($Y$6=4,($P$102)+IF($Y62=$X$6+$Y$6,$P$103,0),0),0))</f>
        <v>2</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1</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2</v>
      </c>
      <c r="AL64" s="123"/>
    </row>
    <row r="65" spans="1:38" s="27" customFormat="1" hidden="1" x14ac:dyDescent="0.2">
      <c r="A65" s="99"/>
      <c r="B65" s="124" t="s">
        <v>53</v>
      </c>
      <c r="C65" s="118">
        <f>IF(C64 = 0,
0,
IF(C62 = (C$6+D$6),1,0))</f>
        <v>0</v>
      </c>
      <c r="D65" s="118">
        <f>IF(D64 = 0,
0,
IF(D62 = (C$6+D$6),1,0))</f>
        <v>0</v>
      </c>
      <c r="E65" s="118">
        <f>IF(E64 = 0,
0,
IF(E62 = (E$6+F$6),1,0))</f>
        <v>0</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1</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216">
        <f>RANK(AL66,$AL$10:$AL$97,)</f>
        <v>13</v>
      </c>
      <c r="B66" s="217" t="s">
        <v>74</v>
      </c>
      <c r="C66" s="229">
        <v>5</v>
      </c>
      <c r="D66" s="230"/>
      <c r="E66" s="234">
        <v>6</v>
      </c>
      <c r="F66" s="230"/>
      <c r="G66" s="232">
        <v>6</v>
      </c>
      <c r="H66" s="233"/>
      <c r="I66" s="234"/>
      <c r="J66" s="233">
        <v>7</v>
      </c>
      <c r="K66" s="235">
        <v>5</v>
      </c>
      <c r="L66" s="233"/>
      <c r="M66" s="234"/>
      <c r="N66" s="236">
        <v>6</v>
      </c>
      <c r="O66" s="234">
        <v>7</v>
      </c>
      <c r="P66" s="230"/>
      <c r="Q66" s="232"/>
      <c r="R66" s="237">
        <v>6</v>
      </c>
      <c r="S66" s="239">
        <f>SUM(C67:R67)</f>
        <v>29</v>
      </c>
      <c r="T66" s="229"/>
      <c r="U66" s="233">
        <v>6</v>
      </c>
      <c r="V66" s="234">
        <v>5</v>
      </c>
      <c r="W66" s="233"/>
      <c r="X66" s="235"/>
      <c r="Y66" s="230">
        <v>5</v>
      </c>
      <c r="Z66" s="232">
        <v>6</v>
      </c>
      <c r="AA66" s="233"/>
      <c r="AB66" s="239">
        <f>SUM(T67:AA67)</f>
        <v>6</v>
      </c>
      <c r="AC66" s="232"/>
      <c r="AD66" s="233"/>
      <c r="AE66" s="235"/>
      <c r="AF66" s="233"/>
      <c r="AG66" s="239">
        <f>SUM(AC67:AF67)</f>
        <v>0</v>
      </c>
      <c r="AH66" s="246"/>
      <c r="AI66" s="240"/>
      <c r="AJ66" s="239">
        <f>AH67</f>
        <v>0</v>
      </c>
      <c r="AK66" s="241">
        <f>MAX($AL$10:$AL$97) - AL66</f>
        <v>23</v>
      </c>
      <c r="AL66" s="239">
        <f>$S66+$AB66+$AG66+$AJ66</f>
        <v>35</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11</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2</v>
      </c>
      <c r="U67" s="126"/>
      <c r="V67" s="126">
        <f>(IF($V66&lt;&gt;"",($V$6*$P$104)+IF($V$6=4,($P$102)+IF($V66=$V$6+$W$6,$P$103,0),0),0)+IF($W66&lt;&gt;"",($W$6*$P$104)+IF($W$6=4,($P$102)+IF($W66=$V$6+$W$6,$P$103,0),0),0))</f>
        <v>0</v>
      </c>
      <c r="W67" s="126"/>
      <c r="X67" s="126">
        <f>(IF($X66&lt;&gt;"",($X$6*$P$104)+IF($X$6=4,($P$102)+IF($X66=$X$6+$Y$6,$P$103,0),0),0)+IF($Y66&lt;&gt;"",($Y$6*$P$104)+IF($Y$6=4,($P$102)+IF($Y66=$X$6+$Y$6,$P$103,0),0),0))</f>
        <v>2</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1</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2</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1</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1</v>
      </c>
      <c r="AL69" s="123"/>
    </row>
    <row r="70" spans="1:38" s="27" customFormat="1" ht="12.75" customHeight="1" x14ac:dyDescent="0.2">
      <c r="A70" s="117">
        <f>RANK(AL70,$AL$10:$AL$97,)</f>
        <v>16</v>
      </c>
      <c r="B70" s="84" t="s">
        <v>83</v>
      </c>
      <c r="C70" s="46">
        <v>6</v>
      </c>
      <c r="D70" s="45"/>
      <c r="E70" s="210">
        <v>7</v>
      </c>
      <c r="F70" s="45"/>
      <c r="G70" s="48">
        <v>5</v>
      </c>
      <c r="H70" s="47"/>
      <c r="I70" s="44"/>
      <c r="J70" s="47">
        <v>5</v>
      </c>
      <c r="K70" s="49">
        <v>7</v>
      </c>
      <c r="L70" s="47"/>
      <c r="M70" s="44">
        <v>6</v>
      </c>
      <c r="N70" s="45"/>
      <c r="O70" s="44">
        <v>7</v>
      </c>
      <c r="P70" s="45"/>
      <c r="Q70" s="48">
        <v>5</v>
      </c>
      <c r="R70" s="50"/>
      <c r="S70" s="122">
        <f>SUM(C71:R71)</f>
        <v>28</v>
      </c>
      <c r="T70" s="46"/>
      <c r="U70" s="47">
        <v>6</v>
      </c>
      <c r="V70" s="44">
        <v>5</v>
      </c>
      <c r="W70" s="47"/>
      <c r="X70" s="49">
        <v>4</v>
      </c>
      <c r="Y70" s="45"/>
      <c r="Z70" s="48">
        <v>7</v>
      </c>
      <c r="AA70" s="47"/>
      <c r="AB70" s="122">
        <f>SUM(T71:AA71)</f>
        <v>6</v>
      </c>
      <c r="AC70" s="48"/>
      <c r="AD70" s="47"/>
      <c r="AE70" s="49"/>
      <c r="AF70" s="47"/>
      <c r="AG70" s="122">
        <f>SUM(AC71:AF71)</f>
        <v>0</v>
      </c>
      <c r="AH70" s="100"/>
      <c r="AI70" s="58"/>
      <c r="AJ70" s="122">
        <f>AH71</f>
        <v>0</v>
      </c>
      <c r="AK70" s="111">
        <f>MAX($AL$10:$AL$97) - AL70</f>
        <v>24</v>
      </c>
      <c r="AL70" s="122">
        <f>$S70+$AB70+$AG70+$AJ70</f>
        <v>34</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11</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9</v>
      </c>
      <c r="R71" s="131"/>
      <c r="S71" s="121"/>
      <c r="T71" s="126">
        <f>(IF($T70&lt;&gt;"",($T$6*$P$104)+IF($T$6=4,($P$102)+IF($T70=$T$6+$U$6,$P$103,0),0),0)+IF($U70&lt;&gt;"",($U$6*$P$104)+IF($U$6=4,($P$102)+IF($U70=$T$6+$U$6,$P$103,0),0),0))</f>
        <v>2</v>
      </c>
      <c r="U71" s="126"/>
      <c r="V71" s="126">
        <f>(IF($V70&lt;&gt;"",($V$6*$P$104)+IF($V$6=4,($P$102)+IF($V70=$V$6+$W$6,$P$103,0),0),0)+IF($W70&lt;&gt;"",($W$6*$P$104)+IF($W$6=4,($P$102)+IF($W70=$V$6+$W$6,$P$103,0),0),0))</f>
        <v>0</v>
      </c>
      <c r="W71" s="126"/>
      <c r="X71" s="126">
        <f>(IF($X70&lt;&gt;"",($X$6*$P$104)+IF($X$6=4,($P$102)+IF($X70=$X$6+$Y$6,$P$103,0),0),0)+IF($Y70&lt;&gt;"",($Y$6*$P$104)+IF($Y$6=4,($P$102)+IF($Y70=$X$6+$Y$6,$P$103,0),0),0))</f>
        <v>2</v>
      </c>
      <c r="Y71" s="59"/>
      <c r="Z71" s="126">
        <f>(IF($Z70&lt;&gt;"",($Z$6*$P$104)+IF($Z$6=4,($P$102)+IF($Z70=$Z$6+$AA$6,$P$103,0),0),0)+IF($AA70&lt;&gt;"",($AA$6*$P$104)+IF($AA$6=4,($P$102)+IF($AA70=$Z$6+$AA$6,$P$103,0),0),0))</f>
        <v>2</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1</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2</v>
      </c>
      <c r="AL72" s="123"/>
    </row>
    <row r="73" spans="1:38" s="27" customFormat="1" hidden="1" x14ac:dyDescent="0.2">
      <c r="A73" s="99"/>
      <c r="B73" s="124" t="s">
        <v>53</v>
      </c>
      <c r="C73" s="118">
        <f>IF(C72 = 0,
0,
IF(C70 = (C$6+D$6),1,0))</f>
        <v>0</v>
      </c>
      <c r="D73" s="118">
        <f>IF(D72 = 0,
0,
IF(D70 = (C$6+D$6),1,0))</f>
        <v>0</v>
      </c>
      <c r="E73" s="118">
        <f>IF(E72 = 0,
0,
IF(E70 = (E$6+F$6),1,0))</f>
        <v>1</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1</v>
      </c>
      <c r="AL73" s="123"/>
    </row>
    <row r="74" spans="1:38" s="27" customFormat="1" ht="12.75" customHeight="1" x14ac:dyDescent="0.2">
      <c r="A74" s="216">
        <f>RANK(AL74,$AL$10:$AL$97,)</f>
        <v>17</v>
      </c>
      <c r="B74" s="217" t="s">
        <v>80</v>
      </c>
      <c r="C74" s="229">
        <v>5</v>
      </c>
      <c r="D74" s="230"/>
      <c r="E74" s="234">
        <v>6</v>
      </c>
      <c r="F74" s="230"/>
      <c r="G74" s="232">
        <v>6</v>
      </c>
      <c r="H74" s="233"/>
      <c r="I74" s="234"/>
      <c r="J74" s="233">
        <v>6</v>
      </c>
      <c r="K74" s="235">
        <v>7</v>
      </c>
      <c r="L74" s="233"/>
      <c r="M74" s="234">
        <v>6</v>
      </c>
      <c r="N74" s="230"/>
      <c r="O74" s="234">
        <v>5</v>
      </c>
      <c r="P74" s="230"/>
      <c r="Q74" s="232"/>
      <c r="R74" s="237">
        <v>6</v>
      </c>
      <c r="S74" s="239">
        <f>SUM(C75:R75)</f>
        <v>20</v>
      </c>
      <c r="T74" s="229"/>
      <c r="U74" s="233">
        <v>6</v>
      </c>
      <c r="V74" s="234">
        <v>6</v>
      </c>
      <c r="W74" s="233"/>
      <c r="X74" s="235"/>
      <c r="Y74" s="230">
        <v>5</v>
      </c>
      <c r="Z74" s="232"/>
      <c r="AA74" s="233">
        <v>6</v>
      </c>
      <c r="AB74" s="239">
        <f>SUM(T75:AA75)</f>
        <v>7</v>
      </c>
      <c r="AC74" s="232"/>
      <c r="AD74" s="233"/>
      <c r="AE74" s="235"/>
      <c r="AF74" s="233"/>
      <c r="AG74" s="239">
        <f>SUM(AC75:AF75)</f>
        <v>0</v>
      </c>
      <c r="AH74" s="246"/>
      <c r="AI74" s="240"/>
      <c r="AJ74" s="239">
        <f>AH75</f>
        <v>0</v>
      </c>
      <c r="AK74" s="241">
        <f>MAX($AL$10:$AL$97) - AL74</f>
        <v>31</v>
      </c>
      <c r="AL74" s="239">
        <f>$S74+$AB74+$AG74+$AJ74</f>
        <v>27</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2</v>
      </c>
      <c r="U75" s="126"/>
      <c r="V75" s="126">
        <f>(IF($V74&lt;&gt;"",($V$6*$P$104)+IF($V$6=4,($P$102)+IF($V74=$V$6+$W$6,$P$103,0),0),0)+IF($W74&lt;&gt;"",($W$6*$P$104)+IF($W$6=4,($P$102)+IF($W74=$V$6+$W$6,$P$103,0),0),0))</f>
        <v>0</v>
      </c>
      <c r="W75" s="126"/>
      <c r="X75" s="126">
        <f>(IF($X74&lt;&gt;"",($X$6*$P$104)+IF($X$6=4,($P$102)+IF($X74=$X$6+$Y$6,$P$103,0),0),0)+IF($Y74&lt;&gt;"",($Y$6*$P$104)+IF($Y$6=4,($P$102)+IF($Y74=$X$6+$Y$6,$P$103,0),0),0))</f>
        <v>2</v>
      </c>
      <c r="Y75" s="59"/>
      <c r="Z75" s="126">
        <f>(IF($Z74&lt;&gt;"",($Z$6*$P$104)+IF($Z$6=4,($P$102)+IF($Z74=$Z$6+$AA$6,$P$103,0),0),0)+IF($AA74&lt;&gt;"",($AA$6*$P$104)+IF($AA$6=4,($P$102)+IF($AA74=$Z$6+$AA$6,$P$103,0),0),0))</f>
        <v>3</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18</v>
      </c>
      <c r="B78" s="84" t="s">
        <v>68</v>
      </c>
      <c r="C78" s="305">
        <v>5</v>
      </c>
      <c r="D78" s="306"/>
      <c r="E78" s="307">
        <v>6</v>
      </c>
      <c r="F78" s="306"/>
      <c r="G78" s="308">
        <v>5</v>
      </c>
      <c r="H78" s="309"/>
      <c r="I78" s="307"/>
      <c r="J78" s="309">
        <v>6</v>
      </c>
      <c r="K78" s="310">
        <v>6</v>
      </c>
      <c r="L78" s="309"/>
      <c r="M78" s="307">
        <v>7</v>
      </c>
      <c r="N78" s="306"/>
      <c r="O78" s="307">
        <v>6</v>
      </c>
      <c r="P78" s="306"/>
      <c r="Q78" s="308"/>
      <c r="R78" s="311">
        <v>6</v>
      </c>
      <c r="S78" s="122">
        <f>SUM(C79:R79)</f>
        <v>20</v>
      </c>
      <c r="T78" s="46"/>
      <c r="U78" s="47">
        <v>6</v>
      </c>
      <c r="V78" s="44">
        <v>7</v>
      </c>
      <c r="W78" s="47"/>
      <c r="X78" s="49">
        <v>6</v>
      </c>
      <c r="Y78" s="45"/>
      <c r="Z78" s="48">
        <v>7</v>
      </c>
      <c r="AA78" s="47"/>
      <c r="AB78" s="122">
        <f>SUM(T79:AA79)</f>
        <v>6</v>
      </c>
      <c r="AC78" s="48"/>
      <c r="AD78" s="47"/>
      <c r="AE78" s="49"/>
      <c r="AF78" s="47"/>
      <c r="AG78" s="122">
        <f>SUM(AC79:AF79)</f>
        <v>0</v>
      </c>
      <c r="AH78" s="100"/>
      <c r="AI78" s="58"/>
      <c r="AJ78" s="122">
        <f>AH79</f>
        <v>0</v>
      </c>
      <c r="AK78" s="111">
        <f>MAX($AL$10:$AL$97) - AL78</f>
        <v>32</v>
      </c>
      <c r="AL78" s="122">
        <f>$S78+$AB78+$AG78+$AJ78</f>
        <v>26</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2</v>
      </c>
      <c r="U79" s="126"/>
      <c r="V79" s="126">
        <f>(IF($V78&lt;&gt;"",($V$6*$P$104)+IF($V$6=4,($P$102)+IF($V78=$V$6+$W$6,$P$103,0),0),0)+IF($W78&lt;&gt;"",($W$6*$P$104)+IF($W$6=4,($P$102)+IF($W78=$V$6+$W$6,$P$103,0),0),0))</f>
        <v>0</v>
      </c>
      <c r="W79" s="126"/>
      <c r="X79" s="126">
        <f>(IF($X78&lt;&gt;"",($X$6*$P$104)+IF($X$6=4,($P$102)+IF($X78=$X$6+$Y$6,$P$103,0),0),0)+IF($Y78&lt;&gt;"",($Y$6*$P$104)+IF($Y$6=4,($P$102)+IF($Y78=$X$6+$Y$6,$P$103,0),0),0))</f>
        <v>2</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216">
        <f>RANK(AL82,$AL$10:$AL$97,)</f>
        <v>18</v>
      </c>
      <c r="B82" s="217" t="s">
        <v>75</v>
      </c>
      <c r="C82" s="229">
        <v>5</v>
      </c>
      <c r="D82" s="230"/>
      <c r="E82" s="234">
        <v>6</v>
      </c>
      <c r="F82" s="230"/>
      <c r="G82" s="232">
        <v>6</v>
      </c>
      <c r="H82" s="233"/>
      <c r="I82" s="234"/>
      <c r="J82" s="233">
        <v>6</v>
      </c>
      <c r="K82" s="235">
        <v>6</v>
      </c>
      <c r="L82" s="233"/>
      <c r="M82" s="234">
        <v>7</v>
      </c>
      <c r="N82" s="230"/>
      <c r="O82" s="234">
        <v>6</v>
      </c>
      <c r="P82" s="230"/>
      <c r="Q82" s="232"/>
      <c r="R82" s="237">
        <v>7</v>
      </c>
      <c r="S82" s="239">
        <f>SUM(C83:R83)</f>
        <v>20</v>
      </c>
      <c r="T82" s="229">
        <v>7</v>
      </c>
      <c r="U82" s="233"/>
      <c r="V82" s="234">
        <v>7</v>
      </c>
      <c r="W82" s="233"/>
      <c r="X82" s="235">
        <v>7</v>
      </c>
      <c r="Y82" s="230"/>
      <c r="Z82" s="232">
        <v>7</v>
      </c>
      <c r="AA82" s="233"/>
      <c r="AB82" s="239">
        <f>SUM(T83:AA83)</f>
        <v>6</v>
      </c>
      <c r="AC82" s="232"/>
      <c r="AD82" s="233"/>
      <c r="AE82" s="235"/>
      <c r="AF82" s="233"/>
      <c r="AG82" s="239">
        <f>SUM(AC83:AF83)</f>
        <v>0</v>
      </c>
      <c r="AH82" s="246"/>
      <c r="AI82" s="240"/>
      <c r="AJ82" s="239">
        <f>AH83</f>
        <v>0</v>
      </c>
      <c r="AK82" s="241">
        <f>MAX($AL$10:$AL$97) - AL82</f>
        <v>32</v>
      </c>
      <c r="AL82" s="239">
        <f>$S82+$AB82+$AG82+$AJ82</f>
        <v>26</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2</v>
      </c>
      <c r="U83" s="126"/>
      <c r="V83" s="126">
        <f>(IF($V82&lt;&gt;"",($V$6*$P$104)+IF($V$6=4,($P$102)+IF($V82=$V$6+$W$6,$P$103,0),0),0)+IF($W82&lt;&gt;"",($W$6*$P$104)+IF($W$6=4,($P$102)+IF($W82=$V$6+$W$6,$P$103,0),0),0))</f>
        <v>0</v>
      </c>
      <c r="W83" s="126"/>
      <c r="X83" s="126">
        <f>(IF($X82&lt;&gt;"",($X$6*$P$104)+IF($X$6=4,($P$102)+IF($X82=$X$6+$Y$6,$P$103,0),0),0)+IF($Y82&lt;&gt;"",($Y$6*$P$104)+IF($Y$6=4,($P$102)+IF($Y82=$X$6+$Y$6,$P$103,0),0),0))</f>
        <v>2</v>
      </c>
      <c r="Y83" s="59"/>
      <c r="Z83" s="126">
        <f>(IF($Z82&lt;&gt;"",($Z$6*$P$104)+IF($Z$6=4,($P$102)+IF($Z82=$Z$6+$AA$6,$P$103,0),0),0)+IF($AA82&lt;&gt;"",($AA$6*$P$104)+IF($AA$6=4,($P$102)+IF($AA82=$Z$6+$AA$6,$P$103,0),0),0))</f>
        <v>2</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6</v>
      </c>
      <c r="AC86" s="48"/>
      <c r="AD86" s="47"/>
      <c r="AE86" s="49"/>
      <c r="AF86" s="47"/>
      <c r="AG86" s="122">
        <f>SUM(AC87:AF87)</f>
        <v>0</v>
      </c>
      <c r="AH86" s="100"/>
      <c r="AI86" s="58"/>
      <c r="AJ86" s="122">
        <f>AH87</f>
        <v>0</v>
      </c>
      <c r="AK86" s="111">
        <f>MAX($AL$10:$AL$97) - AL86</f>
        <v>38</v>
      </c>
      <c r="AL86" s="122">
        <f>$S86+$AB86+$AG86+$AJ86</f>
        <v>20</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2</v>
      </c>
      <c r="U87" s="126"/>
      <c r="V87" s="126">
        <f>(IF($V86&lt;&gt;"",($V$6*$P$104)+IF($V$6=4,($P$102)+IF($V86=$V$6+$W$6,$P$103,0),0),0)+IF($W86&lt;&gt;"",($W$6*$P$104)+IF($W$6=4,($P$102)+IF($W86=$V$6+$W$6,$P$103,0),0),0))</f>
        <v>0</v>
      </c>
      <c r="W87" s="126"/>
      <c r="X87" s="126">
        <f>(IF($X86&lt;&gt;"",($X$6*$P$104)+IF($X$6=4,($P$102)+IF($X86=$X$6+$Y$6,$P$103,0),0),0)+IF($Y86&lt;&gt;"",($Y$6*$P$104)+IF($Y$6=4,($P$102)+IF($Y86=$X$6+$Y$6,$P$103,0),0),0))</f>
        <v>2</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216">
        <f>RANK(AL90,$AL$10:$AL$97,)</f>
        <v>20</v>
      </c>
      <c r="B90" s="217" t="s">
        <v>84</v>
      </c>
      <c r="C90" s="229">
        <v>6</v>
      </c>
      <c r="D90" s="230"/>
      <c r="E90" s="234"/>
      <c r="F90" s="230">
        <v>7</v>
      </c>
      <c r="G90" s="232">
        <v>7</v>
      </c>
      <c r="H90" s="233"/>
      <c r="I90" s="234"/>
      <c r="J90" s="233">
        <v>6</v>
      </c>
      <c r="K90" s="235">
        <v>6</v>
      </c>
      <c r="L90" s="233"/>
      <c r="M90" s="234">
        <v>7</v>
      </c>
      <c r="N90" s="230"/>
      <c r="O90" s="234">
        <v>5</v>
      </c>
      <c r="P90" s="230"/>
      <c r="Q90" s="232"/>
      <c r="R90" s="237">
        <v>6</v>
      </c>
      <c r="S90" s="239">
        <f>SUM(C91:R91)</f>
        <v>14</v>
      </c>
      <c r="T90" s="229"/>
      <c r="U90" s="233">
        <v>7</v>
      </c>
      <c r="V90" s="234">
        <v>6</v>
      </c>
      <c r="W90" s="233"/>
      <c r="X90" s="235"/>
      <c r="Y90" s="230">
        <v>6</v>
      </c>
      <c r="Z90" s="232">
        <v>6</v>
      </c>
      <c r="AA90" s="233"/>
      <c r="AB90" s="239">
        <f>SUM(T91:AA91)</f>
        <v>6</v>
      </c>
      <c r="AC90" s="232"/>
      <c r="AD90" s="233"/>
      <c r="AE90" s="235"/>
      <c r="AF90" s="233"/>
      <c r="AG90" s="239">
        <f>SUM(AC91:AF91)</f>
        <v>0</v>
      </c>
      <c r="AH90" s="246"/>
      <c r="AI90" s="240"/>
      <c r="AJ90" s="239">
        <f>AH91</f>
        <v>0</v>
      </c>
      <c r="AK90" s="241">
        <f>MAX($AL$10:$AL$97) - AL90</f>
        <v>38</v>
      </c>
      <c r="AL90" s="239">
        <f>$S90+$AB90+$AG90+$AJ90</f>
        <v>20</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2</v>
      </c>
      <c r="U91" s="126"/>
      <c r="V91" s="126">
        <f>(IF($V90&lt;&gt;"",($V$6*$P$104)+IF($V$6=4,($P$102)+IF($V90=$V$6+$W$6,$P$103,0),0),0)+IF($W90&lt;&gt;"",($W$6*$P$104)+IF($W$6=4,($P$102)+IF($W90=$V$6+$W$6,$P$103,0),0),0))</f>
        <v>0</v>
      </c>
      <c r="W91" s="126"/>
      <c r="X91" s="126">
        <f>(IF($X90&lt;&gt;"",($X$6*$P$104)+IF($X$6=4,($P$102)+IF($X90=$X$6+$Y$6,$P$103,0),0),0)+IF($Y90&lt;&gt;"",($Y$6*$P$104)+IF($Y$6=4,($P$102)+IF($Y90=$X$6+$Y$6,$P$103,0),0),0))</f>
        <v>2</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20</v>
      </c>
      <c r="B94" s="84" t="s">
        <v>78</v>
      </c>
      <c r="C94" s="187">
        <v>5</v>
      </c>
      <c r="D94" s="188"/>
      <c r="E94" s="189"/>
      <c r="F94" s="188">
        <v>7</v>
      </c>
      <c r="G94" s="190">
        <v>6</v>
      </c>
      <c r="H94" s="191"/>
      <c r="I94" s="189"/>
      <c r="J94" s="191">
        <v>7</v>
      </c>
      <c r="K94" s="192">
        <v>5</v>
      </c>
      <c r="L94" s="191"/>
      <c r="M94" s="189">
        <v>6</v>
      </c>
      <c r="N94" s="188"/>
      <c r="O94" s="189">
        <v>7</v>
      </c>
      <c r="P94" s="188"/>
      <c r="Q94" s="190"/>
      <c r="R94" s="193">
        <v>7</v>
      </c>
      <c r="S94" s="122">
        <f>SUM(C95:R95)</f>
        <v>14</v>
      </c>
      <c r="T94" s="46"/>
      <c r="U94" s="47">
        <v>7</v>
      </c>
      <c r="V94" s="44">
        <v>7</v>
      </c>
      <c r="W94" s="47"/>
      <c r="X94" s="49">
        <v>6</v>
      </c>
      <c r="Y94" s="45"/>
      <c r="Z94" s="48">
        <v>6</v>
      </c>
      <c r="AA94" s="47"/>
      <c r="AB94" s="179">
        <f>SUM(T95:AA95)</f>
        <v>6</v>
      </c>
      <c r="AC94" s="48"/>
      <c r="AD94" s="47"/>
      <c r="AE94" s="49"/>
      <c r="AF94" s="47"/>
      <c r="AG94" s="179">
        <f>SUM(AC95:AF95)</f>
        <v>0</v>
      </c>
      <c r="AH94" s="100"/>
      <c r="AI94" s="58"/>
      <c r="AJ94" s="122">
        <f>AH95</f>
        <v>0</v>
      </c>
      <c r="AK94" s="111">
        <f>MAX($AL$10:$AL$97) - AL94</f>
        <v>38</v>
      </c>
      <c r="AL94" s="179">
        <f>$S94+$AB94+$AG94+$AJ94</f>
        <v>20</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2</v>
      </c>
      <c r="U95" s="126"/>
      <c r="V95" s="126">
        <f>(IF($V94&lt;&gt;"",($V$6*$P$104)+IF($V$6=4,($P$102)+IF($V94=$V$6+$W$6,$P$103,0),0),0)+IF($W94&lt;&gt;"",($W$6*$P$104)+IF($W$6=4,($P$102)+IF($W94=$V$6+$W$6,$P$103,0),0),0))</f>
        <v>0</v>
      </c>
      <c r="W95" s="126"/>
      <c r="X95" s="126">
        <f>(IF($X94&lt;&gt;"",($X$6*$P$104)+IF($X$6=4,($P$102)+IF($X94=$X$6+$Y$6,$P$103,0),0),0)+IF($Y94&lt;&gt;"",($Y$6*$P$104)+IF($Y$6=4,($P$102)+IF($Y94=$X$6+$Y$6,$P$103,0),0),0))</f>
        <v>2</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178"/>
    </row>
    <row r="98" spans="1:38" ht="12.75" customHeight="1" thickBot="1" x14ac:dyDescent="0.25">
      <c r="A98" s="63"/>
      <c r="B98" s="55"/>
      <c r="C98" s="182">
        <f t="shared" ref="C98:AA98" si="0">COUNT(C10,C14,C18,C22,C26,C30,C34, C38, C42,C46,C50,C54,C58,C62,C66,C70,C74,C78,C82,C90,C94,C86)</f>
        <v>22</v>
      </c>
      <c r="D98" s="180">
        <f t="shared" si="0"/>
        <v>0</v>
      </c>
      <c r="E98" s="182">
        <f t="shared" si="0"/>
        <v>18</v>
      </c>
      <c r="F98" s="180">
        <f t="shared" si="0"/>
        <v>4</v>
      </c>
      <c r="G98" s="182">
        <f t="shared" si="0"/>
        <v>19</v>
      </c>
      <c r="H98" s="180">
        <f t="shared" si="0"/>
        <v>3</v>
      </c>
      <c r="I98" s="182">
        <f t="shared" si="0"/>
        <v>4</v>
      </c>
      <c r="J98" s="212">
        <f t="shared" si="0"/>
        <v>18</v>
      </c>
      <c r="K98" s="181">
        <f t="shared" si="0"/>
        <v>21</v>
      </c>
      <c r="L98" s="180">
        <f t="shared" si="0"/>
        <v>1</v>
      </c>
      <c r="M98" s="182">
        <f t="shared" si="0"/>
        <v>14</v>
      </c>
      <c r="N98" s="180">
        <f t="shared" si="0"/>
        <v>8</v>
      </c>
      <c r="O98" s="182">
        <f t="shared" si="0"/>
        <v>21</v>
      </c>
      <c r="P98" s="180">
        <f t="shared" si="0"/>
        <v>1</v>
      </c>
      <c r="Q98" s="182">
        <f t="shared" si="0"/>
        <v>7</v>
      </c>
      <c r="R98" s="183">
        <f t="shared" si="0"/>
        <v>15</v>
      </c>
      <c r="S98" s="68"/>
      <c r="T98" s="182">
        <f t="shared" si="0"/>
        <v>3</v>
      </c>
      <c r="U98" s="180">
        <f t="shared" si="0"/>
        <v>19</v>
      </c>
      <c r="V98" s="182">
        <f t="shared" si="0"/>
        <v>16</v>
      </c>
      <c r="W98" s="212">
        <f t="shared" si="0"/>
        <v>6</v>
      </c>
      <c r="X98" s="181">
        <f t="shared" si="0"/>
        <v>12</v>
      </c>
      <c r="Y98" s="180">
        <f t="shared" si="0"/>
        <v>10</v>
      </c>
      <c r="Z98" s="182">
        <f t="shared" si="0"/>
        <v>17</v>
      </c>
      <c r="AA98" s="183">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86" t="s">
        <v>17</v>
      </c>
      <c r="P100" s="287"/>
      <c r="Q100" s="287"/>
      <c r="R100" s="288"/>
      <c r="AG100" s="30"/>
      <c r="AH100" s="30"/>
      <c r="AI100" s="30"/>
      <c r="AJ100" s="30"/>
      <c r="AK100" s="30"/>
    </row>
    <row r="101" spans="1:38" ht="13.5" thickBot="1" x14ac:dyDescent="0.25">
      <c r="A101" s="33"/>
      <c r="B101" s="274" t="s">
        <v>16</v>
      </c>
      <c r="C101" s="275"/>
      <c r="D101" s="275"/>
      <c r="E101" s="275"/>
      <c r="F101" s="275"/>
      <c r="G101" s="275"/>
      <c r="H101" s="275"/>
      <c r="I101" s="275"/>
      <c r="J101" s="275"/>
      <c r="K101" s="275"/>
      <c r="L101" s="275"/>
      <c r="M101" s="275"/>
      <c r="N101" s="276"/>
      <c r="O101" s="21">
        <v>1</v>
      </c>
      <c r="P101" s="21">
        <v>2</v>
      </c>
      <c r="Q101" s="21">
        <v>3</v>
      </c>
      <c r="R101" s="22">
        <v>4</v>
      </c>
      <c r="U101" s="289" t="s">
        <v>26</v>
      </c>
      <c r="V101" s="290"/>
      <c r="W101" s="290"/>
      <c r="X101" s="290"/>
      <c r="Y101" s="290"/>
      <c r="Z101" s="290"/>
      <c r="AA101" s="290"/>
      <c r="AB101" s="290"/>
      <c r="AC101" s="290"/>
      <c r="AD101" s="291"/>
      <c r="AE101" s="28"/>
      <c r="AF101" s="28"/>
      <c r="AG101" s="292" t="s">
        <v>24</v>
      </c>
      <c r="AH101" s="293"/>
      <c r="AI101" s="293"/>
      <c r="AJ101" s="293"/>
      <c r="AK101" s="294"/>
    </row>
    <row r="102" spans="1:38" x14ac:dyDescent="0.2">
      <c r="A102" s="34"/>
      <c r="B102" s="253" t="s">
        <v>6</v>
      </c>
      <c r="C102" s="254"/>
      <c r="D102" s="254"/>
      <c r="E102" s="254"/>
      <c r="F102" s="254"/>
      <c r="G102" s="254"/>
      <c r="H102" s="254"/>
      <c r="I102" s="254"/>
      <c r="J102" s="254"/>
      <c r="K102" s="254"/>
      <c r="L102" s="254"/>
      <c r="M102" s="254"/>
      <c r="N102" s="255"/>
      <c r="O102" s="20">
        <v>5</v>
      </c>
      <c r="P102" s="20">
        <v>10</v>
      </c>
      <c r="Q102" s="20">
        <v>15</v>
      </c>
      <c r="R102" s="23">
        <v>20</v>
      </c>
      <c r="U102" s="279" t="s">
        <v>20</v>
      </c>
      <c r="V102" s="280"/>
      <c r="W102" s="280"/>
      <c r="X102" s="280"/>
      <c r="Y102" s="280"/>
      <c r="Z102" s="280"/>
      <c r="AA102" s="280"/>
      <c r="AB102" s="277">
        <v>22</v>
      </c>
      <c r="AC102" s="277"/>
      <c r="AD102" s="278"/>
      <c r="AE102" s="29"/>
      <c r="AF102" s="29"/>
      <c r="AG102" s="260" t="s">
        <v>21</v>
      </c>
      <c r="AH102" s="261"/>
      <c r="AI102" s="261"/>
      <c r="AJ102" s="262"/>
      <c r="AK102" s="184">
        <v>230</v>
      </c>
    </row>
    <row r="103" spans="1:38" ht="13.5" thickBot="1" x14ac:dyDescent="0.25">
      <c r="A103" s="34"/>
      <c r="B103" s="253" t="s">
        <v>5</v>
      </c>
      <c r="C103" s="254"/>
      <c r="D103" s="254"/>
      <c r="E103" s="254"/>
      <c r="F103" s="254"/>
      <c r="G103" s="254"/>
      <c r="H103" s="254"/>
      <c r="I103" s="254"/>
      <c r="J103" s="254"/>
      <c r="K103" s="254"/>
      <c r="L103" s="254"/>
      <c r="M103" s="254"/>
      <c r="N103" s="255"/>
      <c r="O103" s="20">
        <v>2</v>
      </c>
      <c r="P103" s="20">
        <v>4</v>
      </c>
      <c r="Q103" s="20">
        <v>6</v>
      </c>
      <c r="R103" s="23">
        <v>8</v>
      </c>
      <c r="U103" s="258" t="s">
        <v>18</v>
      </c>
      <c r="V103" s="259"/>
      <c r="W103" s="259"/>
      <c r="X103" s="259"/>
      <c r="Y103" s="259"/>
      <c r="Z103" s="259"/>
      <c r="AA103" s="259"/>
      <c r="AB103" s="284">
        <v>20</v>
      </c>
      <c r="AC103" s="284"/>
      <c r="AD103" s="285"/>
      <c r="AE103" s="29"/>
      <c r="AF103" s="29"/>
      <c r="AG103" s="263" t="s">
        <v>22</v>
      </c>
      <c r="AH103" s="254"/>
      <c r="AI103" s="254"/>
      <c r="AJ103" s="255"/>
      <c r="AK103" s="36">
        <v>115</v>
      </c>
    </row>
    <row r="104" spans="1:38" ht="14.25" thickTop="1" thickBot="1" x14ac:dyDescent="0.25">
      <c r="A104" s="35"/>
      <c r="B104" s="267" t="s">
        <v>4</v>
      </c>
      <c r="C104" s="268"/>
      <c r="D104" s="268"/>
      <c r="E104" s="268"/>
      <c r="F104" s="268"/>
      <c r="G104" s="268"/>
      <c r="H104" s="268"/>
      <c r="I104" s="268"/>
      <c r="J104" s="268"/>
      <c r="K104" s="268"/>
      <c r="L104" s="268"/>
      <c r="M104" s="268"/>
      <c r="N104" s="269"/>
      <c r="O104" s="3">
        <v>1</v>
      </c>
      <c r="P104" s="3">
        <v>1</v>
      </c>
      <c r="Q104" s="3">
        <v>1</v>
      </c>
      <c r="R104" s="24">
        <v>1</v>
      </c>
      <c r="U104" s="281" t="s">
        <v>19</v>
      </c>
      <c r="V104" s="257"/>
      <c r="W104" s="257"/>
      <c r="X104" s="257"/>
      <c r="Y104" s="257"/>
      <c r="Z104" s="257"/>
      <c r="AA104" s="257"/>
      <c r="AB104" s="282">
        <f>AB102*AB103</f>
        <v>440</v>
      </c>
      <c r="AC104" s="282"/>
      <c r="AD104" s="283"/>
      <c r="AE104" s="29"/>
      <c r="AF104" s="29"/>
      <c r="AG104" s="263" t="s">
        <v>25</v>
      </c>
      <c r="AH104" s="254"/>
      <c r="AI104" s="254"/>
      <c r="AJ104" s="255"/>
      <c r="AK104" s="36">
        <v>65</v>
      </c>
    </row>
    <row r="105" spans="1:38" ht="13.5" thickBot="1" x14ac:dyDescent="0.25">
      <c r="AG105" s="258" t="s">
        <v>23</v>
      </c>
      <c r="AH105" s="259"/>
      <c r="AI105" s="259"/>
      <c r="AJ105" s="259"/>
      <c r="AK105" s="186">
        <v>30</v>
      </c>
    </row>
    <row r="106" spans="1:38" ht="14.25" thickTop="1" thickBot="1" x14ac:dyDescent="0.25">
      <c r="AG106" s="256" t="s">
        <v>19</v>
      </c>
      <c r="AH106" s="257"/>
      <c r="AI106" s="257"/>
      <c r="AJ106" s="257"/>
      <c r="AK106" s="185">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138" priority="174" operator="notEqual">
      <formula>""""""</formula>
    </cfRule>
  </conditionalFormatting>
  <conditionalFormatting sqref="AL10:AL23 AL26:AL27 AL38:AL39 AL30:AL31 AL42:AL43 AL46:AL47 AL50 AL58 AL54 AL62 AL66 AL70 AL74 AL78 AL34:AL35">
    <cfRule type="cellIs" dxfId="137" priority="173" operator="notEqual">
      <formula>""""""</formula>
    </cfRule>
  </conditionalFormatting>
  <conditionalFormatting sqref="AJ24:AJ25">
    <cfRule type="cellIs" dxfId="136" priority="170" operator="notEqual">
      <formula>""""""</formula>
    </cfRule>
  </conditionalFormatting>
  <conditionalFormatting sqref="AL24:AL25">
    <cfRule type="cellIs" dxfId="135" priority="171" operator="notEqual">
      <formula>""""""</formula>
    </cfRule>
  </conditionalFormatting>
  <conditionalFormatting sqref="AJ20:AJ21">
    <cfRule type="cellIs" dxfId="134" priority="169" operator="notEqual">
      <formula>""""""</formula>
    </cfRule>
  </conditionalFormatting>
  <conditionalFormatting sqref="AJ16:AJ17">
    <cfRule type="cellIs" dxfId="133" priority="168" operator="notEqual">
      <formula>""""""</formula>
    </cfRule>
  </conditionalFormatting>
  <conditionalFormatting sqref="AJ28:AJ29">
    <cfRule type="cellIs" dxfId="132" priority="164" operator="notEqual">
      <formula>""""""</formula>
    </cfRule>
  </conditionalFormatting>
  <conditionalFormatting sqref="AL28:AL29">
    <cfRule type="cellIs" dxfId="131" priority="165" operator="notEqual">
      <formula>""""""</formula>
    </cfRule>
  </conditionalFormatting>
  <conditionalFormatting sqref="AL36:AL37">
    <cfRule type="cellIs" dxfId="130" priority="163" operator="notEqual">
      <formula>""""""</formula>
    </cfRule>
  </conditionalFormatting>
  <conditionalFormatting sqref="AL40:AL41">
    <cfRule type="cellIs" dxfId="129" priority="161" operator="notEqual">
      <formula>""""""</formula>
    </cfRule>
  </conditionalFormatting>
  <conditionalFormatting sqref="AL44:AL45">
    <cfRule type="cellIs" dxfId="128" priority="159" operator="notEqual">
      <formula>""""""</formula>
    </cfRule>
  </conditionalFormatting>
  <conditionalFormatting sqref="AL48:AL49">
    <cfRule type="cellIs" dxfId="127" priority="157" operator="notEqual">
      <formula>""""""</formula>
    </cfRule>
  </conditionalFormatting>
  <conditionalFormatting sqref="S20:S21 AB20:AB21 AG20:AG21">
    <cfRule type="cellIs" dxfId="126" priority="134" operator="notEqual">
      <formula>""""""</formula>
    </cfRule>
  </conditionalFormatting>
  <conditionalFormatting sqref="S24:S25 AB24:AB25 AG24:AG25">
    <cfRule type="cellIs" dxfId="125" priority="133" operator="notEqual">
      <formula>""""""</formula>
    </cfRule>
  </conditionalFormatting>
  <conditionalFormatting sqref="S16:S17 AB16:AB17 AG16:AG17">
    <cfRule type="cellIs" dxfId="124" priority="135" operator="notEqual">
      <formula>""""""</formula>
    </cfRule>
  </conditionalFormatting>
  <conditionalFormatting sqref="S28:S29 AB28:AB29 AG28:AG29">
    <cfRule type="cellIs" dxfId="123" priority="132" operator="notEqual">
      <formula>""""""</formula>
    </cfRule>
  </conditionalFormatting>
  <conditionalFormatting sqref="AJ32:AJ33">
    <cfRule type="cellIs" dxfId="122" priority="130" operator="notEqual">
      <formula>""""""</formula>
    </cfRule>
  </conditionalFormatting>
  <conditionalFormatting sqref="AL32:AL33">
    <cfRule type="cellIs" dxfId="121" priority="131" operator="notEqual">
      <formula>""""""</formula>
    </cfRule>
  </conditionalFormatting>
  <conditionalFormatting sqref="S32:S33 AB32:AB33 AG32:AG33">
    <cfRule type="cellIs" dxfId="120" priority="129" operator="notEqual">
      <formula>""""""</formula>
    </cfRule>
  </conditionalFormatting>
  <conditionalFormatting sqref="AJ36:AJ37">
    <cfRule type="cellIs" dxfId="119" priority="128" operator="notEqual">
      <formula>""""""</formula>
    </cfRule>
  </conditionalFormatting>
  <conditionalFormatting sqref="S36:S37 AB36:AB37 AG36:AG37">
    <cfRule type="cellIs" dxfId="118" priority="127" operator="notEqual">
      <formula>""""""</formula>
    </cfRule>
  </conditionalFormatting>
  <conditionalFormatting sqref="AJ40:AJ41">
    <cfRule type="cellIs" dxfId="117" priority="126" operator="notEqual">
      <formula>""""""</formula>
    </cfRule>
  </conditionalFormatting>
  <conditionalFormatting sqref="S40:S41 AB40:AB41 AG40:AG41">
    <cfRule type="cellIs" dxfId="116" priority="125" operator="notEqual">
      <formula>""""""</formula>
    </cfRule>
  </conditionalFormatting>
  <conditionalFormatting sqref="AJ44:AJ45">
    <cfRule type="cellIs" dxfId="115" priority="124" operator="notEqual">
      <formula>""""""</formula>
    </cfRule>
  </conditionalFormatting>
  <conditionalFormatting sqref="S44:S45 AB44:AB45 AG44:AG45">
    <cfRule type="cellIs" dxfId="114" priority="123" operator="notEqual">
      <formula>""""""</formula>
    </cfRule>
  </conditionalFormatting>
  <conditionalFormatting sqref="AJ48:AJ49">
    <cfRule type="cellIs" dxfId="113" priority="122" operator="notEqual">
      <formula>""""""</formula>
    </cfRule>
  </conditionalFormatting>
  <conditionalFormatting sqref="S48:S49 AB48:AB49 AG48:AG49">
    <cfRule type="cellIs" dxfId="112" priority="121" operator="notEqual">
      <formula>""""""</formula>
    </cfRule>
  </conditionalFormatting>
  <conditionalFormatting sqref="S51:S53 AB51:AB53 AG51:AG53 AJ51:AJ53">
    <cfRule type="cellIs" dxfId="111" priority="102" operator="notEqual">
      <formula>""""""</formula>
    </cfRule>
  </conditionalFormatting>
  <conditionalFormatting sqref="AL51:AL53">
    <cfRule type="cellIs" dxfId="110" priority="101" operator="notEqual">
      <formula>""""""</formula>
    </cfRule>
  </conditionalFormatting>
  <conditionalFormatting sqref="S55:S57 AB55:AB57 AG55:AG57 AJ55:AJ57">
    <cfRule type="cellIs" dxfId="109" priority="100" operator="notEqual">
      <formula>""""""</formula>
    </cfRule>
  </conditionalFormatting>
  <conditionalFormatting sqref="AL55:AL57">
    <cfRule type="cellIs" dxfId="108" priority="99" operator="notEqual">
      <formula>""""""</formula>
    </cfRule>
  </conditionalFormatting>
  <conditionalFormatting sqref="S59:S61 AB59:AB61 AG59:AG61 AJ59:AJ61">
    <cfRule type="cellIs" dxfId="107" priority="98" operator="notEqual">
      <formula>""""""</formula>
    </cfRule>
  </conditionalFormatting>
  <conditionalFormatting sqref="AL59:AL61">
    <cfRule type="cellIs" dxfId="106" priority="97" operator="notEqual">
      <formula>""""""</formula>
    </cfRule>
  </conditionalFormatting>
  <conditionalFormatting sqref="S63:S65 AB63:AB65 AG63:AG65 AJ63:AJ65">
    <cfRule type="cellIs" dxfId="105" priority="96" operator="notEqual">
      <formula>""""""</formula>
    </cfRule>
  </conditionalFormatting>
  <conditionalFormatting sqref="AL63:AL65">
    <cfRule type="cellIs" dxfId="104" priority="95" operator="notEqual">
      <formula>""""""</formula>
    </cfRule>
  </conditionalFormatting>
  <conditionalFormatting sqref="S67:S69 AB67:AB69 AG67:AG69 AJ67:AJ69">
    <cfRule type="cellIs" dxfId="103" priority="94" operator="notEqual">
      <formula>""""""</formula>
    </cfRule>
  </conditionalFormatting>
  <conditionalFormatting sqref="AL67:AL69">
    <cfRule type="cellIs" dxfId="102" priority="93" operator="notEqual">
      <formula>""""""</formula>
    </cfRule>
  </conditionalFormatting>
  <conditionalFormatting sqref="S71:S73 AB71:AB73 AG71:AG73 AJ71:AJ73">
    <cfRule type="cellIs" dxfId="101" priority="92" operator="notEqual">
      <formula>""""""</formula>
    </cfRule>
  </conditionalFormatting>
  <conditionalFormatting sqref="AL71:AL73">
    <cfRule type="cellIs" dxfId="100" priority="91" operator="notEqual">
      <formula>""""""</formula>
    </cfRule>
  </conditionalFormatting>
  <conditionalFormatting sqref="S75:S77 AB75:AB77 AG75:AG77 AJ75:AJ77">
    <cfRule type="cellIs" dxfId="99" priority="90" operator="notEqual">
      <formula>""""""</formula>
    </cfRule>
  </conditionalFormatting>
  <conditionalFormatting sqref="AL75:AL77">
    <cfRule type="cellIs" dxfId="98" priority="89" operator="notEqual">
      <formula>""""""</formula>
    </cfRule>
  </conditionalFormatting>
  <conditionalFormatting sqref="S79:S81 AB79:AB81 AG79:AG81 AJ79:AJ81">
    <cfRule type="cellIs" dxfId="97" priority="88" operator="notEqual">
      <formula>""""""</formula>
    </cfRule>
  </conditionalFormatting>
  <conditionalFormatting sqref="AL79:AL81">
    <cfRule type="cellIs" dxfId="96" priority="87" operator="notEqual">
      <formula>""""""</formula>
    </cfRule>
  </conditionalFormatting>
  <conditionalFormatting sqref="C98:D98">
    <cfRule type="dataBar" priority="27">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2 AB82 AG82 AJ82 AJ90 AG90 AB90 S90">
    <cfRule type="cellIs" dxfId="95" priority="74" operator="notEqual">
      <formula>""""""</formula>
    </cfRule>
  </conditionalFormatting>
  <conditionalFormatting sqref="AL82 AL90">
    <cfRule type="cellIs" dxfId="94" priority="73" operator="notEqual">
      <formula>""""""</formula>
    </cfRule>
  </conditionalFormatting>
  <conditionalFormatting sqref="S83:S85 AB83:AB85 AG83:AG85 AJ83:AJ85">
    <cfRule type="cellIs" dxfId="93" priority="72" operator="notEqual">
      <formula>""""""</formula>
    </cfRule>
  </conditionalFormatting>
  <conditionalFormatting sqref="AL83:AL85">
    <cfRule type="cellIs" dxfId="92" priority="71" operator="notEqual">
      <formula>""""""</formula>
    </cfRule>
  </conditionalFormatting>
  <conditionalFormatting sqref="S91:S93 AB91:AB93 AG91:AG93 AJ91:AJ93">
    <cfRule type="cellIs" dxfId="91" priority="70" operator="notEqual">
      <formula>""""""</formula>
    </cfRule>
  </conditionalFormatting>
  <conditionalFormatting sqref="AL91:AL93">
    <cfRule type="cellIs" dxfId="90" priority="69" operator="notEqual">
      <formula>""""""</formula>
    </cfRule>
  </conditionalFormatting>
  <conditionalFormatting sqref="S94 AB94 AG94 AJ94">
    <cfRule type="cellIs" dxfId="89" priority="66" operator="notEqual">
      <formula>""""""</formula>
    </cfRule>
  </conditionalFormatting>
  <conditionalFormatting sqref="AL94">
    <cfRule type="cellIs" dxfId="88" priority="65" operator="notEqual">
      <formula>""""""</formula>
    </cfRule>
  </conditionalFormatting>
  <conditionalFormatting sqref="S95:S97 AB95:AB97 AG95:AG97 AJ95:AJ97">
    <cfRule type="cellIs" dxfId="87" priority="64" operator="notEqual">
      <formula>""""""</formula>
    </cfRule>
  </conditionalFormatting>
  <conditionalFormatting sqref="AL95:AL97">
    <cfRule type="cellIs" dxfId="86" priority="63" operator="notEqual">
      <formula>""""""</formula>
    </cfRule>
  </conditionalFormatting>
  <conditionalFormatting sqref="S86 AB86 AG86 AJ86">
    <cfRule type="cellIs" dxfId="85" priority="31" operator="notEqual">
      <formula>""""""</formula>
    </cfRule>
  </conditionalFormatting>
  <conditionalFormatting sqref="AL86">
    <cfRule type="cellIs" dxfId="84" priority="30" operator="notEqual">
      <formula>""""""</formula>
    </cfRule>
  </conditionalFormatting>
  <conditionalFormatting sqref="S87:S89 AB87:AB89 AG87:AG89 AJ87:AJ89">
    <cfRule type="cellIs" dxfId="83" priority="29" operator="notEqual">
      <formula>""""""</formula>
    </cfRule>
  </conditionalFormatting>
  <conditionalFormatting sqref="AL87:AL89">
    <cfRule type="cellIs" dxfId="82" priority="28" operator="notEqual">
      <formula>""""""</formula>
    </cfRule>
  </conditionalFormatting>
  <conditionalFormatting sqref="AK10:AK94">
    <cfRule type="dataBar" priority="19">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7">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6">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5">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4">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3">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2">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11">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6">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5">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4">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3">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0:R94 T10:AA94 AC10:AF94 AH10:AI94">
    <cfRule type="cellIs" dxfId="0" priority="1" operator="notEqual">
      <formula>0</formula>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S24" sqref="S24"/>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c r="T6" s="81"/>
      <c r="U6" s="81"/>
      <c r="V6" s="73">
        <f>IF(O6&gt;O7,1,0)+IF(P6&gt;P7,1,0)+IF(Q6&gt;Q7,1,0)+IF(R6&gt;R7,1,0)+IF(S6&gt;S7,1,0)+IF(T6&gt;T7,1,0)+IF(U6&gt;U7,1,0)</f>
        <v>2</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c r="T20" s="81"/>
      <c r="U20" s="81"/>
      <c r="V20" s="73">
        <f>IF(O20&gt;O21,1,0)+IF(P20&gt;P21,1,0)+IF(Q20&gt;Q21,1,0)+IF(R20&gt;R21,1,0)+IF(S20&gt;S21,1,0)+IF(T20&gt;T21,1,0)+IF(U20&gt;U21,1,0)</f>
        <v>2</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c r="T21" s="81"/>
      <c r="U21" s="81"/>
      <c r="V21" s="73">
        <f>IF(O21&gt;O20,1,0)+IF(P21&gt;P20,1,0)+IF(Q21&gt;Q20,1,0)+IF(R21&gt;R20,1,0)+IF(S21&gt;S20,1,0)+IF(T21&gt;T20,1,0)+IF(U21&gt;U20,1,0)</f>
        <v>2</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v>1</v>
      </c>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v>2</v>
      </c>
      <c r="T25" s="82"/>
      <c r="U25" s="81"/>
      <c r="V25" s="73">
        <f>IF(O25&gt;O24,1,0)+IF(P25&gt;P24,1,0)+IF(Q25&gt;Q24,1,0)+IF(R25&gt;R24,1,0)+IF(S25&gt;S24,1,0)+IF(T25&gt;T24,1,0)+IF(U25&gt;U24,1,0)</f>
        <v>3</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58" priority="27" stopIfTrue="1" operator="greaterThan">
      <formula>C4</formula>
    </cfRule>
  </conditionalFormatting>
  <conditionalFormatting sqref="C4:I4 C7:I7 O21:U21 C14:I14 AA9:AG9 AA16:AG16 O11:U11 O7:Q7 C11:I11 C25 C21:E21 C18:I18 O25:U25 AA23:AG23 F25:I25 G21:I21 C28:I28 S7:U7">
    <cfRule type="cellIs" dxfId="157" priority="28" stopIfTrue="1" operator="greaterThan">
      <formula>C3</formula>
    </cfRule>
  </conditionalFormatting>
  <conditionalFormatting sqref="C3:I3 C6:I6 O20:U20 C13:I13 AA8:AG8 AA15:AG15 O10:U10 O6:Q6 C10:I10 C24 C20:E20 C17:I17 O24:U24 AA22:AG22 F24:I24 G20:I20 C27:I27 S6:U6">
    <cfRule type="cellIs" dxfId="156" priority="18" stopIfTrue="1" operator="greaterThan">
      <formula>C4</formula>
    </cfRule>
  </conditionalFormatting>
  <conditionalFormatting sqref="C4:I4 C7:I7 O21:U21 C14:I14 AA9:AG9 AA16:AG16 O11:U11 O7:Q7 C11:I11 C25 C21:E21 C18:I18 O25:U25 AA23:AG23 F25:I25 G21:I21 C28:I28 S7:U7">
    <cfRule type="cellIs" dxfId="155" priority="17" stopIfTrue="1" operator="greaterThan">
      <formula>C3</formula>
    </cfRule>
  </conditionalFormatting>
  <conditionalFormatting sqref="D24">
    <cfRule type="cellIs" dxfId="154" priority="15" stopIfTrue="1" operator="greaterThan">
      <formula>D25</formula>
    </cfRule>
  </conditionalFormatting>
  <conditionalFormatting sqref="D25">
    <cfRule type="cellIs" dxfId="153" priority="16" stopIfTrue="1" operator="greaterThan">
      <formula>D24</formula>
    </cfRule>
  </conditionalFormatting>
  <conditionalFormatting sqref="D24">
    <cfRule type="cellIs" dxfId="152" priority="14" stopIfTrue="1" operator="greaterThan">
      <formula>D25</formula>
    </cfRule>
  </conditionalFormatting>
  <conditionalFormatting sqref="D25">
    <cfRule type="cellIs" dxfId="151" priority="13" stopIfTrue="1" operator="greaterThan">
      <formula>D24</formula>
    </cfRule>
  </conditionalFormatting>
  <conditionalFormatting sqref="E24">
    <cfRule type="cellIs" dxfId="150" priority="11" stopIfTrue="1" operator="greaterThan">
      <formula>E25</formula>
    </cfRule>
  </conditionalFormatting>
  <conditionalFormatting sqref="E25">
    <cfRule type="cellIs" dxfId="149" priority="12" stopIfTrue="1" operator="greaterThan">
      <formula>E24</formula>
    </cfRule>
  </conditionalFormatting>
  <conditionalFormatting sqref="E24">
    <cfRule type="cellIs" dxfId="148" priority="10" stopIfTrue="1" operator="greaterThan">
      <formula>E25</formula>
    </cfRule>
  </conditionalFormatting>
  <conditionalFormatting sqref="E25">
    <cfRule type="cellIs" dxfId="147" priority="9" stopIfTrue="1" operator="greaterThan">
      <formula>E24</formula>
    </cfRule>
  </conditionalFormatting>
  <conditionalFormatting sqref="F20">
    <cfRule type="cellIs" dxfId="146" priority="7" stopIfTrue="1" operator="greaterThan">
      <formula>F21</formula>
    </cfRule>
  </conditionalFormatting>
  <conditionalFormatting sqref="F21">
    <cfRule type="cellIs" dxfId="145" priority="8" stopIfTrue="1" operator="greaterThan">
      <formula>F20</formula>
    </cfRule>
  </conditionalFormatting>
  <conditionalFormatting sqref="F20">
    <cfRule type="cellIs" dxfId="144" priority="6" stopIfTrue="1" operator="greaterThan">
      <formula>F21</formula>
    </cfRule>
  </conditionalFormatting>
  <conditionalFormatting sqref="F21">
    <cfRule type="cellIs" dxfId="143" priority="5" stopIfTrue="1" operator="greaterThan">
      <formula>F20</formula>
    </cfRule>
  </conditionalFormatting>
  <conditionalFormatting sqref="R6">
    <cfRule type="cellIs" dxfId="142" priority="3" stopIfTrue="1" operator="greaterThan">
      <formula>R7</formula>
    </cfRule>
  </conditionalFormatting>
  <conditionalFormatting sqref="R7">
    <cfRule type="cellIs" dxfId="141" priority="4" stopIfTrue="1" operator="greaterThan">
      <formula>R6</formula>
    </cfRule>
  </conditionalFormatting>
  <conditionalFormatting sqref="R6">
    <cfRule type="cellIs" dxfId="140" priority="2" stopIfTrue="1" operator="greaterThan">
      <formula>R7</formula>
    </cfRule>
  </conditionalFormatting>
  <conditionalFormatting sqref="R7">
    <cfRule type="cellIs" dxfId="139"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2019-05-04T15:13:34Z</cp:lastPrinted>
  <dcterms:created xsi:type="dcterms:W3CDTF">2007-04-21T15:38:41Z</dcterms:created>
  <dcterms:modified xsi:type="dcterms:W3CDTF">2019-05-04T15:18:57Z</dcterms:modified>
</cp:coreProperties>
</file>