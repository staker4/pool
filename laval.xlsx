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D89" i="16"/>
  <c r="AD90" i="16" s="1"/>
  <c r="AF85" i="16"/>
  <c r="AF86" i="16" s="1"/>
  <c r="AD85" i="16"/>
  <c r="AD86" i="16" s="1"/>
  <c r="AE81" i="16"/>
  <c r="AE82" i="16" s="1"/>
  <c r="AC81" i="16"/>
  <c r="AC82" i="16" s="1"/>
  <c r="AE77" i="16"/>
  <c r="AE78" i="16" s="1"/>
  <c r="AD77" i="16"/>
  <c r="AD78" i="16" s="1"/>
  <c r="AF73" i="16"/>
  <c r="AF74" i="16" s="1"/>
  <c r="AD73" i="16"/>
  <c r="AD74" i="16" s="1"/>
  <c r="AE69" i="16"/>
  <c r="AE70" i="16" s="1"/>
  <c r="AD69" i="16"/>
  <c r="AD70" i="16" s="1"/>
  <c r="AE65" i="16"/>
  <c r="AE66" i="16" s="1"/>
  <c r="AC65" i="16"/>
  <c r="AC66" i="16" s="1"/>
  <c r="AF61" i="16"/>
  <c r="AF62" i="16" s="1"/>
  <c r="AD61" i="16"/>
  <c r="AD62" i="16" s="1"/>
  <c r="AF57" i="16"/>
  <c r="AF58" i="16" s="1"/>
  <c r="AC57" i="16"/>
  <c r="AC58" i="16" s="1"/>
  <c r="AF53" i="16"/>
  <c r="AF54" i="16" s="1"/>
  <c r="AD53" i="16"/>
  <c r="AD54" i="16" s="1"/>
  <c r="AF49" i="16"/>
  <c r="AF50" i="16" s="1"/>
  <c r="AD49" i="16"/>
  <c r="AD50" i="16" s="1"/>
  <c r="AF45" i="16"/>
  <c r="AF46" i="16" s="1"/>
  <c r="AD45" i="16"/>
  <c r="AD46" i="16" s="1"/>
  <c r="AF41" i="16"/>
  <c r="AF42" i="16" s="1"/>
  <c r="AC41" i="16"/>
  <c r="AC42" i="16" s="1"/>
  <c r="AE37" i="16"/>
  <c r="AE38" i="16" s="1"/>
  <c r="AD37" i="16"/>
  <c r="AD38" i="16" s="1"/>
  <c r="AE33" i="16"/>
  <c r="AE34" i="16" s="1"/>
  <c r="AD33" i="16"/>
  <c r="AD34" i="16" s="1"/>
  <c r="AF29" i="16"/>
  <c r="AF30" i="16" s="1"/>
  <c r="AD29" i="16"/>
  <c r="AD30" i="16" s="1"/>
  <c r="AF25" i="16"/>
  <c r="AF26" i="16" s="1"/>
  <c r="AC25" i="16"/>
  <c r="AC26" i="16" s="1"/>
  <c r="AE21" i="16"/>
  <c r="AE22"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H99" i="16" l="1"/>
  <c r="AI99" i="16"/>
  <c r="P97" i="16"/>
  <c r="P98" i="16" s="1"/>
  <c r="L97" i="16"/>
  <c r="L98" i="16" s="1"/>
  <c r="I97" i="16"/>
  <c r="I98" i="16" s="1"/>
  <c r="F97" i="16"/>
  <c r="F98" i="16" s="1"/>
  <c r="D97" i="16"/>
  <c r="D98" i="16" s="1"/>
  <c r="AJ87" i="16"/>
  <c r="P93" i="16"/>
  <c r="P94" i="16" s="1"/>
  <c r="L93" i="16"/>
  <c r="L94" i="16" s="1"/>
  <c r="I93" i="16"/>
  <c r="I94" i="16" s="1"/>
  <c r="F93" i="16"/>
  <c r="F94" i="16" s="1"/>
  <c r="D93" i="16"/>
  <c r="D94" i="16" s="1"/>
  <c r="AJ67"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H22" i="7"/>
  <c r="AE7" i="16" s="1"/>
  <c r="V21" i="7"/>
  <c r="J21" i="7"/>
  <c r="V20" i="7"/>
  <c r="J20" i="7"/>
  <c r="J18" i="7"/>
  <c r="J17" i="7"/>
  <c r="AH16" i="7"/>
  <c r="AH15" i="7"/>
  <c r="J14" i="7"/>
  <c r="J13" i="7"/>
  <c r="V11" i="7"/>
  <c r="J11" i="7"/>
  <c r="V10" i="7"/>
  <c r="J10" i="7"/>
  <c r="AH9" i="7"/>
  <c r="AD7" i="16" s="1"/>
  <c r="AH8" i="7"/>
  <c r="AC7"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E12" i="16" l="1"/>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G87" i="16" s="1"/>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51" i="16" l="1"/>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51" i="16"/>
  <c r="AB87" i="16"/>
  <c r="AB95" i="16"/>
  <c r="S51" i="16"/>
  <c r="C90" i="16"/>
  <c r="AK90" i="16" s="1"/>
  <c r="AK89" i="16"/>
  <c r="S87"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3" i="16"/>
  <c r="AJ27" i="16"/>
  <c r="AJ39" i="16"/>
  <c r="AB63" i="16"/>
  <c r="AG63" i="16"/>
  <c r="AJ43" i="16"/>
  <c r="AJ19" i="16"/>
  <c r="AJ75" i="16"/>
  <c r="AG75" i="16"/>
  <c r="AB75" i="16"/>
  <c r="S43" i="16"/>
  <c r="S19" i="16"/>
  <c r="S75" i="16"/>
  <c r="S63" i="16"/>
  <c r="AJ79" i="16"/>
  <c r="AJ47" i="16"/>
  <c r="AJ91" i="16"/>
  <c r="AJ59" i="16"/>
  <c r="AJ23" i="16"/>
  <c r="AJ15" i="16"/>
  <c r="AG79" i="16"/>
  <c r="AB79" i="16"/>
  <c r="S31" i="16"/>
  <c r="AJ83" i="16"/>
  <c r="AJ55" i="16"/>
  <c r="AJ35" i="16"/>
  <c r="AG15" i="16"/>
  <c r="AG91" i="16"/>
  <c r="AG55" i="16"/>
  <c r="AG59" i="16"/>
  <c r="AG39" i="16"/>
  <c r="AG35" i="16"/>
  <c r="AG19" i="16"/>
  <c r="AG43" i="16"/>
  <c r="AG23" i="16"/>
  <c r="AG31" i="16"/>
  <c r="AG83" i="16"/>
  <c r="AG27" i="16"/>
  <c r="AG47" i="16"/>
  <c r="AB19" i="16"/>
  <c r="AB91" i="16"/>
  <c r="AB23" i="16"/>
  <c r="AB43" i="16"/>
  <c r="AB39" i="16"/>
  <c r="AB55" i="16"/>
  <c r="AB27" i="16"/>
  <c r="AB31" i="16"/>
  <c r="AB15" i="16"/>
  <c r="AB59" i="16"/>
  <c r="AB83" i="16"/>
  <c r="AB47" i="16"/>
  <c r="AB35" i="16"/>
  <c r="S55" i="16"/>
  <c r="S11" i="16"/>
  <c r="S71" i="16"/>
  <c r="S15" i="16"/>
  <c r="S39" i="16"/>
  <c r="S83" i="16"/>
  <c r="S79" i="16"/>
  <c r="S23" i="16"/>
  <c r="S59" i="16"/>
  <c r="S91" i="16"/>
  <c r="S35" i="16"/>
  <c r="S47" i="16"/>
  <c r="S27" i="16"/>
  <c r="AL67" i="16" l="1"/>
  <c r="AL51" i="16"/>
  <c r="AL87" i="16"/>
  <c r="AL23" i="16"/>
  <c r="AL63" i="16"/>
  <c r="AL11" i="16"/>
  <c r="AL71" i="16"/>
  <c r="AL39" i="16"/>
  <c r="AL43" i="16"/>
  <c r="AL27" i="16"/>
  <c r="AL91" i="16"/>
  <c r="AL47" i="16"/>
  <c r="AL75" i="16"/>
  <c r="AL35" i="16"/>
  <c r="AL59" i="16"/>
  <c r="AL31" i="16"/>
  <c r="AL55" i="16"/>
  <c r="AL19" i="16"/>
  <c r="AL15" i="16"/>
  <c r="AL79" i="16"/>
  <c r="AL83" i="16"/>
  <c r="AK51" i="16" l="1"/>
  <c r="A88" i="16"/>
  <c r="A51" i="16"/>
  <c r="AK87" i="16"/>
  <c r="A87" i="16"/>
  <c r="A95" i="16"/>
  <c r="A96" i="16"/>
  <c r="AK67" i="16"/>
  <c r="A67" i="16"/>
  <c r="A92" i="16"/>
  <c r="A84" i="16"/>
  <c r="AK95" i="16"/>
  <c r="A56" i="16"/>
  <c r="A80" i="16"/>
  <c r="A76" i="16"/>
  <c r="A60" i="16"/>
  <c r="A68" i="16"/>
  <c r="A72" i="16"/>
  <c r="A64" i="16"/>
  <c r="A52" i="16"/>
  <c r="A12" i="16"/>
  <c r="A47" i="16"/>
  <c r="A79" i="16"/>
  <c r="A15" i="16"/>
  <c r="A19" i="16"/>
  <c r="A91" i="16"/>
  <c r="A55" i="16"/>
  <c r="A27" i="16"/>
  <c r="A43" i="16"/>
  <c r="A39" i="16"/>
  <c r="A35" i="16"/>
  <c r="A71" i="16"/>
  <c r="A23" i="16"/>
  <c r="A31" i="16"/>
  <c r="A48" i="16"/>
  <c r="A32" i="16"/>
  <c r="A16" i="16"/>
  <c r="A44" i="16"/>
  <c r="A59" i="16"/>
  <c r="A28" i="16"/>
  <c r="A40" i="16"/>
  <c r="A24" i="16"/>
  <c r="A36" i="16"/>
  <c r="A20" i="16"/>
  <c r="A83" i="16"/>
  <c r="A75" i="16"/>
  <c r="A11" i="16"/>
  <c r="A63" i="16"/>
  <c r="AK35" i="16"/>
  <c r="AK71" i="16"/>
  <c r="AK44" i="16"/>
  <c r="AK40" i="16"/>
  <c r="AK36" i="16"/>
  <c r="AK20" i="16"/>
  <c r="AK32" i="16"/>
  <c r="AK28" i="16"/>
  <c r="AK24" i="16"/>
  <c r="AK48" i="16"/>
  <c r="AK16" i="16"/>
  <c r="AK59" i="16"/>
  <c r="AK39" i="16"/>
  <c r="AK83" i="16"/>
  <c r="AK75" i="16"/>
  <c r="AK11" i="16"/>
  <c r="AK79" i="16"/>
  <c r="AK47"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<sst xmlns="http://schemas.openxmlformats.org/spreadsheetml/2006/main" count="163" uniqueCount="87">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</sst>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4"/>
      <c r="D1" s="304"/>
      <c r="E1" s="304"/>
      <c r="F1" s="304"/>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row>
    <row r="2" spans="1:38" x14ac:dyDescent="0.2">
      <c r="A2" s="41"/>
      <c r="C2" s="306" t="s">
        <v>49</v>
      </c>
      <c r="D2" s="306"/>
      <c r="E2" s="306"/>
      <c r="F2" s="306"/>
      <c r="G2" s="306"/>
      <c r="H2" s="306"/>
      <c r="I2" s="306"/>
      <c r="J2" s="306"/>
      <c r="K2" s="306"/>
      <c r="L2" s="306"/>
      <c r="M2" s="306"/>
      <c r="N2" s="306"/>
      <c r="O2" s="306"/>
      <c r="P2" s="306"/>
      <c r="Q2" s="307" t="s">
        <v>50</v>
      </c>
      <c r="R2" s="305"/>
      <c r="S2" s="305"/>
      <c r="T2" s="305"/>
      <c r="U2" s="305"/>
      <c r="V2" s="305"/>
      <c r="W2" s="305"/>
      <c r="X2" s="305"/>
      <c r="Y2" s="305"/>
      <c r="Z2" s="305"/>
      <c r="AA2" s="305"/>
      <c r="AB2" s="305"/>
      <c r="AC2" s="305"/>
      <c r="AD2" s="305"/>
      <c r="AE2" s="305"/>
      <c r="AF2" s="305"/>
      <c r="AG2" s="305"/>
      <c r="AH2" s="305"/>
      <c r="AI2" s="305"/>
      <c r="AJ2" s="305"/>
    </row>
    <row r="3" spans="1:38" x14ac:dyDescent="0.2">
      <c r="A3" s="41"/>
      <c r="C3" s="306" t="s">
        <v>85</v>
      </c>
      <c r="D3" s="306"/>
      <c r="E3" s="306"/>
      <c r="F3" s="306"/>
      <c r="G3" s="306"/>
      <c r="H3" s="306"/>
      <c r="I3" s="306"/>
      <c r="J3" s="306"/>
      <c r="K3" s="306"/>
      <c r="L3" s="306"/>
      <c r="M3" s="306"/>
      <c r="N3" s="306"/>
      <c r="O3" s="306"/>
      <c r="P3" s="306"/>
      <c r="Q3" s="307" t="s">
        <v>86</v>
      </c>
      <c r="R3" s="305"/>
      <c r="S3" s="305"/>
      <c r="T3" s="305"/>
      <c r="U3" s="305"/>
      <c r="V3" s="305"/>
      <c r="W3" s="305"/>
      <c r="X3" s="305"/>
      <c r="Y3" s="305"/>
      <c r="Z3" s="305"/>
      <c r="AA3" s="305"/>
      <c r="AB3" s="305"/>
      <c r="AC3" s="305"/>
      <c r="AD3" s="305"/>
      <c r="AE3" s="305"/>
      <c r="AF3" s="305"/>
      <c r="AG3" s="305"/>
      <c r="AH3" s="305"/>
      <c r="AI3" s="305"/>
      <c r="AJ3" s="305"/>
    </row>
    <row r="4" spans="1:38" ht="6.95" customHeight="1" thickBot="1" x14ac:dyDescent="0.25">
      <c r="C4" s="304"/>
      <c r="D4" s="304"/>
      <c r="E4" s="304"/>
      <c r="F4" s="304"/>
      <c r="G4" s="304"/>
      <c r="H4" s="304"/>
      <c r="I4" s="304"/>
      <c r="J4" s="304"/>
      <c r="K4" s="304"/>
      <c r="L4" s="304"/>
      <c r="M4" s="304"/>
      <c r="N4" s="304"/>
      <c r="O4" s="304"/>
      <c r="P4" s="305"/>
      <c r="Q4" s="305"/>
      <c r="R4" s="305"/>
      <c r="S4" s="305"/>
      <c r="T4" s="305"/>
      <c r="U4" s="305"/>
      <c r="V4" s="305"/>
      <c r="W4" s="305"/>
      <c r="X4" s="305"/>
      <c r="Y4" s="305"/>
      <c r="Z4" s="305"/>
      <c r="AA4" s="305"/>
      <c r="AB4" s="305"/>
      <c r="AC4" s="305"/>
      <c r="AD4" s="305"/>
      <c r="AE4" s="305"/>
      <c r="AF4" s="305"/>
      <c r="AG4" s="305"/>
      <c r="AH4" s="305"/>
      <c r="AI4" s="305"/>
      <c r="AJ4" s="305"/>
    </row>
    <row r="5" spans="1:38" ht="13.5" thickBot="1" x14ac:dyDescent="0.25">
      <c r="C5" s="308" t="s">
        <v>0</v>
      </c>
      <c r="D5" s="309"/>
      <c r="E5" s="309"/>
      <c r="F5" s="309"/>
      <c r="G5" s="309"/>
      <c r="H5" s="309"/>
      <c r="I5" s="309"/>
      <c r="J5" s="309"/>
      <c r="K5" s="309"/>
      <c r="L5" s="309"/>
      <c r="M5" s="309"/>
      <c r="N5" s="309"/>
      <c r="O5" s="309"/>
      <c r="P5" s="309"/>
      <c r="Q5" s="309"/>
      <c r="R5" s="309"/>
      <c r="S5" s="310"/>
      <c r="T5" s="308" t="s">
        <v>1</v>
      </c>
      <c r="U5" s="309"/>
      <c r="V5" s="309"/>
      <c r="W5" s="309"/>
      <c r="X5" s="309"/>
      <c r="Y5" s="309"/>
      <c r="Z5" s="309"/>
      <c r="AA5" s="309"/>
      <c r="AB5" s="310"/>
      <c r="AC5" s="308" t="s">
        <v>2</v>
      </c>
      <c r="AD5" s="309"/>
      <c r="AE5" s="309"/>
      <c r="AF5" s="309"/>
      <c r="AG5" s="311"/>
      <c r="AH5" s="308" t="s">
        <v>10</v>
      </c>
      <c r="AI5" s="309"/>
      <c r="AJ5" s="310"/>
    </row>
    <row r="6" spans="1:38" ht="12.75" customHeight="1" x14ac:dyDescent="0.2">
      <c r="A6" s="32"/>
      <c r="B6" s="4"/>
      <c r="C6" s="281" t="s">
        <v>9</v>
      </c>
      <c r="D6" s="276"/>
      <c r="E6" s="276"/>
      <c r="F6" s="276"/>
      <c r="G6" s="276"/>
      <c r="H6" s="276"/>
      <c r="I6" s="276"/>
      <c r="J6" s="277"/>
      <c r="K6" s="275" t="s">
        <v>8</v>
      </c>
      <c r="L6" s="276"/>
      <c r="M6" s="276"/>
      <c r="N6" s="276"/>
      <c r="O6" s="276"/>
      <c r="P6" s="276"/>
      <c r="Q6" s="276"/>
      <c r="R6" s="277"/>
      <c r="S6" s="278" t="s">
        <v>12</v>
      </c>
      <c r="T6" s="281" t="s">
        <v>9</v>
      </c>
      <c r="U6" s="276"/>
      <c r="V6" s="276"/>
      <c r="W6" s="277"/>
      <c r="X6" s="275" t="s">
        <v>8</v>
      </c>
      <c r="Y6" s="276"/>
      <c r="Z6" s="276"/>
      <c r="AA6" s="277"/>
      <c r="AB6" s="278" t="s">
        <v>13</v>
      </c>
      <c r="AC6" s="313" t="s">
        <v>9</v>
      </c>
      <c r="AD6" s="277"/>
      <c r="AE6" s="275" t="s">
        <v>8</v>
      </c>
      <c r="AF6" s="277"/>
      <c r="AG6" s="278" t="s">
        <v>14</v>
      </c>
      <c r="AH6" s="56"/>
      <c r="AI6" s="25"/>
      <c r="AJ6" s="278"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9"/>
      <c r="T7" s="237">
        <f>Résultats!$V$6</f>
        <v>4</v>
      </c>
      <c r="U7" s="101">
        <f>Résultats!$V$7</f>
        <v>2</v>
      </c>
      <c r="V7" s="148">
        <f>Résultats!$V$10</f>
        <v>0</v>
      </c>
      <c r="W7" s="187">
        <f>Résultats!$V$11</f>
        <v>4</v>
      </c>
      <c r="X7" s="252">
        <f>Résultats!$V$20</f>
        <v>4</v>
      </c>
      <c r="Y7" s="102">
        <f>Résultats!$V$21</f>
        <v>3</v>
      </c>
      <c r="Z7" s="195">
        <f>Résultats!$V$24</f>
        <v>4</v>
      </c>
      <c r="AA7" s="101">
        <f>Résultats!$V$25</f>
        <v>3</v>
      </c>
      <c r="AB7" s="279"/>
      <c r="AC7" s="104">
        <f>Résultats!$AH$8</f>
        <v>1</v>
      </c>
      <c r="AD7" s="101">
        <f>Résultats!$AH$9</f>
        <v>0</v>
      </c>
      <c r="AE7" s="103">
        <f>Résultats!$AH$22</f>
        <v>1</v>
      </c>
      <c r="AF7" s="101">
        <f>Résultats!$AH$23</f>
        <v>0</v>
      </c>
      <c r="AG7" s="279"/>
      <c r="AH7" s="162">
        <f>Résultats!$AH$15</f>
        <v>0</v>
      </c>
      <c r="AI7" s="105">
        <f>Résultats!$AH$16</f>
        <v>0</v>
      </c>
      <c r="AJ7" s="279"/>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9"/>
      <c r="T8" s="238"/>
      <c r="U8" s="110"/>
      <c r="V8" s="149"/>
      <c r="W8" s="188"/>
      <c r="X8" s="253"/>
      <c r="Y8" s="111"/>
      <c r="Z8" s="196"/>
      <c r="AA8" s="110"/>
      <c r="AB8" s="279"/>
      <c r="AC8" s="112"/>
      <c r="AD8" s="110"/>
      <c r="AE8" s="113"/>
      <c r="AF8" s="110"/>
      <c r="AG8" s="279"/>
      <c r="AH8" s="162"/>
      <c r="AI8" s="105"/>
      <c r="AJ8" s="279"/>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9"/>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9"/>
      <c r="AC9" s="153" t="str">
        <f>Résultats!$Z$8</f>
        <v>BOSTON</v>
      </c>
      <c r="AD9" s="150" t="str">
        <f>Résultats!$Z$9</f>
        <v>CAROLINE</v>
      </c>
      <c r="AE9" s="154" t="str">
        <f>Résultats!$Z$22</f>
        <v>SAN JOSE</v>
      </c>
      <c r="AF9" s="150" t="str">
        <f>Résultats!$Z$23</f>
        <v>ST-LOUIS</v>
      </c>
      <c r="AG9" s="279"/>
      <c r="AH9" s="163" t="str">
        <f>Résultats!$Z$15</f>
        <v xml:space="preserve"> </v>
      </c>
      <c r="AI9" s="164" t="str">
        <f>Résultats!$Z$16</f>
        <v xml:space="preserve"> </v>
      </c>
      <c r="AJ9" s="279"/>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80"/>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312"/>
      <c r="AC10" s="159" t="str">
        <f>Résultats!$Y$8</f>
        <v>A2</v>
      </c>
      <c r="AD10" s="156" t="str">
        <f>Résultats!$Y$9</f>
        <v>WC1</v>
      </c>
      <c r="AE10" s="160" t="str">
        <f>Résultats!$Y$22</f>
        <v>P2</v>
      </c>
      <c r="AF10" s="156" t="str">
        <f>Résultats!$Y$23</f>
        <v>C3</v>
      </c>
      <c r="AG10" s="312"/>
      <c r="AH10" s="165" t="str">
        <f>Résultats!$Y$15</f>
        <v xml:space="preserve"> </v>
      </c>
      <c r="AI10" s="166" t="str">
        <f>Résultats!$Y$16</f>
        <v xml:space="preserve"> </v>
      </c>
      <c r="AJ10" s="280"/>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0</v>
      </c>
      <c r="AH11" s="235"/>
      <c r="AI11" s="215"/>
      <c r="AJ11" s="213">
        <f>AH12</f>
        <v>0</v>
      </c>
      <c r="AK11" s="216">
        <f>MAX($AL$11:$AL$98) - AL11</f>
        <v>0</v>
      </c>
      <c r="AL11" s="213">
        <f>$S11+$AB11+$AG11+$AJ11</f>
        <v>86</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0</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1</v>
      </c>
      <c r="AH15" s="72"/>
      <c r="AI15" s="58"/>
      <c r="AJ15" s="120">
        <f>AH16</f>
        <v>0</v>
      </c>
      <c r="AK15" s="109">
        <f>MAX($AL$11:$AL$98) - AL15</f>
        <v>5</v>
      </c>
      <c r="AL15" s="120">
        <f>$S15+$AB15+$AG15+$AJ15</f>
        <v>81</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1</v>
      </c>
      <c r="AD16" s="124"/>
      <c r="AE16" s="124">
        <f>(IF($AE15&lt;&gt;"",($AE$7*$Q$105)+IF($AE$7=4,($Q$103)+IF($AE15=$AE$7+$AF$7,$Q$104,0),0),0)+IF($AF15&lt;&gt;"",($AF$7*$Q$105)+IF($AF$7=4,($Q$103)+IF($AF15=$AE$7+$AF$7,$Q$104,0),0),0))</f>
        <v>0</v>
      </c>
      <c r="AF16" s="83"/>
      <c r="AG16" s="138"/>
      <c r="AH16" s="124">
        <f>(IF($AH15&lt;&gt;"",($AH$7*$Q$105)+IF($AH$7=4,($R$103)+IF($AH15=$AH$7+$AI$7,$R$104,0),0),0)+IF($AI15&lt;&gt;"",($AI$7*$R$105)+IF($AI$7=4,($R$103)+IF($AI15=$AH$7+$AI$7,$R$104,0),0),0))</f>
        <v>0</v>
      </c>
      <c r="AI16" s="130"/>
      <c r="AJ16" s="119"/>
      <c r="AK16" s="90">
        <f>MAX($AL$11:$AL$98) - AL16</f>
        <v>86</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1</v>
      </c>
      <c r="AH19" s="236"/>
      <c r="AI19" s="228"/>
      <c r="AJ19" s="227">
        <f>AH20</f>
        <v>0</v>
      </c>
      <c r="AK19" s="229">
        <f>MAX($AL$11:$AL$98) - AL19</f>
        <v>6</v>
      </c>
      <c r="AL19" s="227">
        <f>$S19+$AB19+$AG19+$AJ19</f>
        <v>80</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1</v>
      </c>
      <c r="AD20" s="124"/>
      <c r="AE20" s="124">
        <f>(IF($AE19&lt;&gt;"",($AE$7*$Q$105)+IF($AE$7=4,($Q$103)+IF($AE19=$AE$7+$AF$7,$Q$104,0),0),0)+IF($AF19&lt;&gt;"",($AF$7*$Q$105)+IF($AF$7=4,($Q$103)+IF($AF19=$AE$7+$AF$7,$Q$104,0),0),0))</f>
        <v>0</v>
      </c>
      <c r="AF20" s="83"/>
      <c r="AG20" s="138"/>
      <c r="AH20" s="124">
        <f>(IF($AH19&lt;&gt;"",($AH$7*$Q$105)+IF($AH$7=4,($R$103)+IF($AH19=$AH$7+$AI$7,$R$104,0),0),0)+IF($AI19&lt;&gt;"",($AI$7*$R$105)+IF($AI$7=4,($R$103)+IF($AI19=$AH$7+$AI$7,$R$104,0),0),0))</f>
        <v>0</v>
      </c>
      <c r="AI20" s="130"/>
      <c r="AJ20" s="138"/>
      <c r="AK20" s="139">
        <f>MAX($AL$11:$AL$98) - AL20</f>
        <v>86</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1</v>
      </c>
      <c r="AH23" s="203"/>
      <c r="AI23" s="57"/>
      <c r="AJ23" s="120">
        <f>AH24</f>
        <v>0</v>
      </c>
      <c r="AK23" s="109">
        <f>MAX($AL$11:$AL$98) - AL23</f>
        <v>11</v>
      </c>
      <c r="AL23" s="120">
        <f>$S23+$AB23+$AG23+$AJ23</f>
        <v>75</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1</v>
      </c>
      <c r="AF24" s="83"/>
      <c r="AG24" s="138"/>
      <c r="AH24" s="124">
        <f>(IF($AH23&lt;&gt;"",($AH$7*$Q$105)+IF($AH$7=4,($R$103)+IF($AH23=$AH$7+$AI$7,$R$104,0),0),0)+IF($AI23&lt;&gt;"",($AI$7*$R$105)+IF($AI$7=4,($R$103)+IF($AI23=$AH$7+$AI$7,$R$104,0),0),0))</f>
        <v>0</v>
      </c>
      <c r="AI24" s="130"/>
      <c r="AJ24" s="138"/>
      <c r="AK24" s="139">
        <f>MAX($AL$11:$AL$98) - AL24</f>
        <v>86</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2</v>
      </c>
      <c r="AH27" s="214"/>
      <c r="AI27" s="215"/>
      <c r="AJ27" s="227">
        <f>AH28</f>
        <v>0</v>
      </c>
      <c r="AK27" s="229">
        <f>MAX($AL$11:$AL$98) - AL27</f>
        <v>14</v>
      </c>
      <c r="AL27" s="227">
        <f>$S27+$AB27+$AG27+$AJ27</f>
        <v>72</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1</v>
      </c>
      <c r="AD28" s="124"/>
      <c r="AE28" s="124">
        <f>(IF($AE27&lt;&gt;"",($AE$7*$Q$105)+IF($AE$7=4,($Q$103)+IF($AE27=$AE$7+$AF$7,$Q$104,0),0),0)+IF($AF27&lt;&gt;"",($AF$7*$Q$105)+IF($AF$7=4,($Q$103)+IF($AF27=$AE$7+$AF$7,$Q$104,0),0),0))</f>
        <v>1</v>
      </c>
      <c r="AF28" s="83"/>
      <c r="AG28" s="144"/>
      <c r="AH28" s="124">
        <f>(IF($AH27&lt;&gt;"",($AH$7*$Q$105)+IF($AH$7=4,($R$103)+IF($AH27=$AH$7+$AI$7,$R$104,0),0),0)+IF($AI27&lt;&gt;"",($AI$7*$R$105)+IF($AI$7=4,($R$103)+IF($AI27=$AH$7+$AI$7,$R$104,0),0),0))</f>
        <v>0</v>
      </c>
      <c r="AI28" s="130"/>
      <c r="AJ28" s="138"/>
      <c r="AK28" s="139">
        <f>MAX($AL$11:$AL$98) - AL28</f>
        <v>86</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1</v>
      </c>
      <c r="AH31" s="241"/>
      <c r="AI31" s="57"/>
      <c r="AJ31" s="120">
        <f>AH32</f>
        <v>0</v>
      </c>
      <c r="AK31" s="109">
        <f>MAX($AL$11:$AL$98) - AL31</f>
        <v>18</v>
      </c>
      <c r="AL31" s="120">
        <f>$S31+$AB31+$AG31+$AJ31</f>
        <v>68</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1</v>
      </c>
      <c r="AD32" s="124"/>
      <c r="AE32" s="124">
        <f>(IF($AE31&lt;&gt;"",($AE$7*$Q$105)+IF($AE$7=4,($Q$103)+IF($AE31=$AE$7+$AF$7,$Q$104,0),0),0)+IF($AF31&lt;&gt;"",($AF$7*$Q$105)+IF($AF$7=4,($Q$103)+IF($AF31=$AE$7+$AF$7,$Q$104,0),0),0))</f>
        <v>0</v>
      </c>
      <c r="AF32" s="83"/>
      <c r="AG32" s="119"/>
      <c r="AH32" s="124">
        <f>(IF($AH31&lt;&gt;"",($AH$7*$Q$105)+IF($AH$7=4,($R$103)+IF($AH31=$AH$7+$AI$7,$R$104,0),0),0)+IF($AI31&lt;&gt;"",($AI$7*$R$105)+IF($AI$7=4,($R$103)+IF($AI31=$AH$7+$AI$7,$R$104,0),0),0))</f>
        <v>0</v>
      </c>
      <c r="AI32" s="130"/>
      <c r="AJ32" s="119"/>
      <c r="AK32" s="90">
        <f>MAX($AL$11:$AL$98) - AL32</f>
        <v>86</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1</v>
      </c>
      <c r="AH35" s="230"/>
      <c r="AI35" s="215"/>
      <c r="AJ35" s="227">
        <f>AH36</f>
        <v>0</v>
      </c>
      <c r="AK35" s="229">
        <f>MAX($AL$11:$AL$98) - AL35</f>
        <v>21</v>
      </c>
      <c r="AL35" s="227">
        <f>$S35+$AB35+$AG35+$AJ35</f>
        <v>65</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1</v>
      </c>
      <c r="AD36" s="124"/>
      <c r="AE36" s="124">
        <f>(IF($AE35&lt;&gt;"",($AE$7*$Q$105)+IF($AE$7=4,($Q$103)+IF($AE35=$AE$7+$AF$7,$Q$104,0),0),0)+IF($AF35&lt;&gt;"",($AF$7*$Q$105)+IF($AF$7=4,($Q$103)+IF($AF35=$AE$7+$AF$7,$Q$104,0),0),0))</f>
        <v>0</v>
      </c>
      <c r="AF36" s="83"/>
      <c r="AG36" s="119"/>
      <c r="AH36" s="124">
        <f>(IF($AH35&lt;&gt;"",($AH$7*$Q$105)+IF($AH$7=4,($R$103)+IF($AH35=$AH$7+$AI$7,$R$104,0),0),0)+IF($AI35&lt;&gt;"",($AI$7*$R$105)+IF($AI$7=4,($R$103)+IF($AI35=$AH$7+$AI$7,$R$104,0),0),0))</f>
        <v>0</v>
      </c>
      <c r="AI36" s="130"/>
      <c r="AJ36" s="119"/>
      <c r="AK36" s="90">
        <f>MAX($AL$11:$AL$98) - AL36</f>
        <v>86</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261">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2</v>
      </c>
      <c r="AH39" s="100"/>
      <c r="AI39" s="57"/>
      <c r="AJ39" s="120">
        <f>AH40</f>
        <v>0</v>
      </c>
      <c r="AK39" s="109">
        <f>MAX($AL$11:$AL$98) - AL39</f>
        <v>22</v>
      </c>
      <c r="AL39" s="120">
        <f>$S39+$AB39+$AG39+$AJ39</f>
        <v>64</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1</v>
      </c>
      <c r="AD40" s="124"/>
      <c r="AE40" s="124">
        <f>(IF($AE39&lt;&gt;"",($AE$7*$Q$105)+IF($AE$7=4,($Q$103)+IF($AE39=$AE$7+$AF$7,$Q$104,0),0),0)+IF($AF39&lt;&gt;"",($AF$7*$Q$105)+IF($AF$7=4,($Q$103)+IF($AF39=$AE$7+$AF$7,$Q$104,0),0),0))</f>
        <v>1</v>
      </c>
      <c r="AF40" s="83"/>
      <c r="AG40" s="119"/>
      <c r="AH40" s="124">
        <f>(IF($AH39&lt;&gt;"",($AH$7*$Q$105)+IF($AH$7=4,($R$103)+IF($AH39=$AH$7+$AI$7,$R$104,0),0),0)+IF($AI39&lt;&gt;"",($AI$7*$R$105)+IF($AI$7=4,($R$103)+IF($AI39=$AH$7+$AI$7,$R$104,0),0),0))</f>
        <v>0</v>
      </c>
      <c r="AI40" s="130"/>
      <c r="AJ40" s="119"/>
      <c r="AK40" s="90">
        <f>MAX($AL$11:$AL$98) - AL40</f>
        <v>86</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2</v>
      </c>
      <c r="AH43" s="230"/>
      <c r="AI43" s="215"/>
      <c r="AJ43" s="227">
        <f>AH44</f>
        <v>0</v>
      </c>
      <c r="AK43" s="229">
        <f>MAX($AL$11:$AL$98) - AL43</f>
        <v>22</v>
      </c>
      <c r="AL43" s="227">
        <f>$S43+$AB43+$AG43+$AJ43</f>
        <v>64</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1</v>
      </c>
      <c r="AD44" s="124"/>
      <c r="AE44" s="124">
        <f>(IF($AE43&lt;&gt;"",($AE$7*$Q$105)+IF($AE$7=4,($Q$103)+IF($AE43=$AE$7+$AF$7,$Q$104,0),0),0)+IF($AF43&lt;&gt;"",($AF$7*$Q$105)+IF($AF$7=4,($Q$103)+IF($AF43=$AE$7+$AF$7,$Q$104,0),0),0))</f>
        <v>1</v>
      </c>
      <c r="AF44" s="83"/>
      <c r="AG44" s="119"/>
      <c r="AH44" s="124">
        <f>(IF($AH43&lt;&gt;"",($AH$7*$Q$105)+IF($AH$7=4,($R$103)+IF($AH43=$AH$7+$AI$7,$R$104,0),0),0)+IF($AI43&lt;&gt;"",($AI$7*$R$105)+IF($AI$7=4,($R$103)+IF($AI43=$AH$7+$AI$7,$R$104,0),0),0))</f>
        <v>0</v>
      </c>
      <c r="AI44" s="130"/>
      <c r="AJ44" s="119"/>
      <c r="AK44" s="109">
        <f>MAX($AL$11:$AL$98) - AL44</f>
        <v>86</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71</v>
      </c>
      <c r="C47" s="46">
        <v>4</v>
      </c>
      <c r="D47" s="45"/>
      <c r="E47" s="44">
        <v>5</v>
      </c>
      <c r="F47" s="45"/>
      <c r="G47" s="48">
        <v>6</v>
      </c>
      <c r="H47" s="47"/>
      <c r="I47" s="44">
        <v>7</v>
      </c>
      <c r="J47" s="47"/>
      <c r="K47" s="49">
        <v>5</v>
      </c>
      <c r="L47" s="47"/>
      <c r="M47" s="44"/>
      <c r="N47" s="45">
        <v>7</v>
      </c>
      <c r="O47" s="44">
        <v>6</v>
      </c>
      <c r="P47" s="45"/>
      <c r="Q47" s="202">
        <v>7</v>
      </c>
      <c r="R47" s="50"/>
      <c r="S47" s="120">
        <f>SUM(C48:R48)</f>
        <v>44</v>
      </c>
      <c r="T47" s="46"/>
      <c r="U47" s="47">
        <v>6</v>
      </c>
      <c r="V47" s="44">
        <v>6</v>
      </c>
      <c r="W47" s="47"/>
      <c r="X47" s="49"/>
      <c r="Y47" s="45">
        <v>6</v>
      </c>
      <c r="Z47" s="48">
        <v>6</v>
      </c>
      <c r="AA47" s="47"/>
      <c r="AB47" s="120">
        <f>SUM(T48:AA48)</f>
        <v>19</v>
      </c>
      <c r="AC47" s="48"/>
      <c r="AD47" s="47">
        <v>7</v>
      </c>
      <c r="AE47" s="49">
        <v>6</v>
      </c>
      <c r="AF47" s="47"/>
      <c r="AG47" s="120">
        <f>SUM(AC48:AF48)</f>
        <v>1</v>
      </c>
      <c r="AH47" s="100"/>
      <c r="AI47" s="57"/>
      <c r="AJ47" s="120">
        <f>AH48</f>
        <v>0</v>
      </c>
      <c r="AK47" s="109">
        <f>MAX($AL$11:$AL$98) - AL47</f>
        <v>22</v>
      </c>
      <c r="AL47" s="120">
        <f>$S47+$AB47+$AG47+$AJ47</f>
        <v>64</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9</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9</v>
      </c>
      <c r="N48" s="74"/>
      <c r="O48" s="75">
        <f>(IF($O47&lt;&gt;"",($O$7*$O$105)+IF($O$7=4,($O$103)+IF($O47=$O$7+$P$7,$O$104,0),0),0)+IF($P47&lt;&gt;"",($P$7*$O$105)+IF($P$7=4,($O$103)+IF($P47=$O$7+$P$7,$O$104,0),0),0))</f>
        <v>2</v>
      </c>
      <c r="P48" s="74"/>
      <c r="Q48" s="75">
        <f>(IF($Q47&lt;&gt;"",($Q$7*$O$105)+IF($Q$7=4,($O$103)+IF($Q47=$Q$7+$R$7,$O$104,0),0),0)+IF($R47&lt;&gt;"",($R$7*$O$105)+IF($R$7=4,($O$103)+IF($R47=$Q$7+$R$7,$O$104,0),0),0))</f>
        <v>11</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3</v>
      </c>
      <c r="Y48" s="59"/>
      <c r="Z48" s="124">
        <f>(IF($Z47&lt;&gt;"",($Z$7*$P$105)+IF($Z$7=4,($P$103)+IF($Z47=$Z$7+$AA$7,$P$104,0),0),0)+IF($AA47&lt;&gt;"",($AA$7*$P$105)+IF($AA$7=4,($P$103)+IF($AA47=$Z$7+$AA$7,$P$104,0),0),0))</f>
        <v>14</v>
      </c>
      <c r="AA48" s="60"/>
      <c r="AB48" s="119"/>
      <c r="AC48" s="124">
        <f>(IF($AC47&lt;&gt;"",($AC$7*$Q$105)+IF($AC$7=4,($Q$103)+IF($AC47=$AC$7+$AD$7,$Q$104,0),0),0)+IF($AD47&lt;&gt;"",($AD$7*$Q$105)+IF($AD$7=4,($Q$103)+IF($AD47=$AC$7+$AD$7,$Q$104,0),0),0))</f>
        <v>0</v>
      </c>
      <c r="AD48" s="124"/>
      <c r="AE48" s="124">
        <f>(IF($AE47&lt;&gt;"",($AE$7*$Q$105)+IF($AE$7=4,($Q$103)+IF($AE47=$AE$7+$AF$7,$Q$104,0),0),0)+IF($AF47&lt;&gt;"",($AF$7*$Q$105)+IF($AF$7=4,($Q$103)+IF($AF47=$AE$7+$AF$7,$Q$104,0),0),0))</f>
        <v>1</v>
      </c>
      <c r="AF48" s="83"/>
      <c r="AG48" s="119"/>
      <c r="AH48" s="124">
        <f>(IF($AH47&lt;&gt;"",($AH$7*$Q$105)+IF($AH$7=4,($R$103)+IF($AH47=$AH$7+$AI$7,$R$104,0),0),0)+IF($AI47&lt;&gt;"",($AI$7*$R$105)+IF($AI$7=4,($R$103)+IF($AI47=$AH$7+$AI$7,$R$104,0),0),0))</f>
        <v>0</v>
      </c>
      <c r="AI48" s="130"/>
      <c r="AJ48" s="119"/>
      <c r="AK48" s="109">
        <f>MAX($AL$11:$AL$98) - AL48</f>
        <v>86</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1</v>
      </c>
      <c r="J49" s="116">
        <f>IF(ISBLANK(J47),
0,
IF(J$7 = 4, 1, 0))</f>
        <v>0</v>
      </c>
      <c r="K49" s="116">
        <f>IF(ISBLANK(K47),
0,
IF(K$7= 4, 1, 0))</f>
        <v>0</v>
      </c>
      <c r="L49" s="116">
        <f>IF(ISBLANK(L47),
0,
IF(L$7 = 4, 1, 0))</f>
        <v>0</v>
      </c>
      <c r="M49" s="116">
        <f>IF(ISBLANK(M47),
0,
IF(M$7= 4, 1, 0))</f>
        <v>0</v>
      </c>
      <c r="N49" s="116">
        <f>IF(ISBLANK(N47),
0,
IF(N$7 = 4, 1, 0))</f>
        <v>1</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0</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5</v>
      </c>
      <c r="AL49" s="121"/>
    </row>
    <row r="50" spans="1:38" s="27" customFormat="1" hidden="1" x14ac:dyDescent="0.2">
      <c r="A50" s="97"/>
      <c r="B50" s="122" t="s">
        <v>53</v>
      </c>
      <c r="C50" s="116">
        <f>IF(C49 = 0,
0,
IF(C47 = (C$7+D$7),1,0))</f>
        <v>0</v>
      </c>
      <c r="D50" s="116">
        <f>IF(D49 = 0,
0,
IF(D47 = (C$7+D$7),1,0))</f>
        <v>0</v>
      </c>
      <c r="E50" s="116">
        <f>IF(E49 = 0,
0,
IF(E47 = (E$7+F$7),1,0))</f>
        <v>0</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1</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0</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1</v>
      </c>
      <c r="AL50" s="121"/>
    </row>
    <row r="51" spans="1:38" s="27" customFormat="1" ht="12.75" customHeight="1" x14ac:dyDescent="0.2">
      <c r="A51" s="204">
        <f>RANK(AL51,$AL$11:$AL$98,)</f>
        <v>8</v>
      </c>
      <c r="B51" s="205" t="s">
        <v>82</v>
      </c>
      <c r="C51" s="217">
        <v>6</v>
      </c>
      <c r="D51" s="218"/>
      <c r="E51" s="219">
        <v>7</v>
      </c>
      <c r="F51" s="218"/>
      <c r="G51" s="220">
        <v>5</v>
      </c>
      <c r="H51" s="221"/>
      <c r="I51" s="222"/>
      <c r="J51" s="221">
        <v>5</v>
      </c>
      <c r="K51" s="223">
        <v>7</v>
      </c>
      <c r="L51" s="221"/>
      <c r="M51" s="222">
        <v>6</v>
      </c>
      <c r="N51" s="218"/>
      <c r="O51" s="222">
        <v>7</v>
      </c>
      <c r="P51" s="218"/>
      <c r="Q51" s="220">
        <v>5</v>
      </c>
      <c r="R51" s="225"/>
      <c r="S51" s="227">
        <f>SUM(C52:R52)</f>
        <v>28</v>
      </c>
      <c r="T51" s="217"/>
      <c r="U51" s="221">
        <v>6</v>
      </c>
      <c r="V51" s="222">
        <v>5</v>
      </c>
      <c r="W51" s="221"/>
      <c r="X51" s="223">
        <v>4</v>
      </c>
      <c r="Y51" s="218"/>
      <c r="Z51" s="234">
        <v>7</v>
      </c>
      <c r="AA51" s="221"/>
      <c r="AB51" s="227">
        <f>SUM(T52:AA52)</f>
        <v>34</v>
      </c>
      <c r="AC51" s="220">
        <v>5</v>
      </c>
      <c r="AD51" s="221"/>
      <c r="AE51" s="223">
        <v>6</v>
      </c>
      <c r="AF51" s="221"/>
      <c r="AG51" s="227">
        <f>SUM(AC52:AF52)</f>
        <v>2</v>
      </c>
      <c r="AH51" s="230"/>
      <c r="AI51" s="215"/>
      <c r="AJ51" s="227">
        <f>AH52</f>
        <v>0</v>
      </c>
      <c r="AK51" s="229">
        <f>MAX($AL$11:$AL$98) - AL51</f>
        <v>22</v>
      </c>
      <c r="AL51" s="227">
        <f>$S51+$AB51+$AG51+$AJ51</f>
        <v>64</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11</v>
      </c>
      <c r="F52" s="125"/>
      <c r="G52" s="123">
        <f>(IF($G51&lt;&gt;"",($G$7*$O$105)+IF($G$7=4,($O$103)+IF($G51=$G$7+$H$7,$O$104,0),0),0)+IF($H51&lt;&gt;"",($H$7*$O$105)+IF($H$7=4,($O$103)+IF($H51=$G$7+$H$7,$O$104,0),0),0))</f>
        <v>3</v>
      </c>
      <c r="H52" s="125"/>
      <c r="I52" s="126">
        <f>(IF($I51&lt;&gt;"",($I$7*$O$105)+IF($I$7=4,($O$103)+IF($I51=$I$7+$J$7,$O$104,0),0),0)+IF($J51&lt;&gt;"",($J$7*$O$105)+IF($J$7=4,($O$103)+IF($J51=$I$7+$J$7,$O$104,0),0),0))</f>
        <v>0</v>
      </c>
      <c r="J52" s="127"/>
      <c r="K52" s="128">
        <f>(IF($K51&lt;&gt;"",($K$7*$O$105)+IF($K$7=4,($O$103)+IF($K51=$K$7+$L$7,$O$104,0),0),0)+IF($L51&lt;&gt;"",($L$7*$O$105)+IF($L$7=4,($O$103)+IF($L51=$K$7+$L$7,$O$104,0),0),0))</f>
        <v>1</v>
      </c>
      <c r="L52" s="125"/>
      <c r="M52" s="123">
        <f>(IF($M51&lt;&gt;"",($M$7*$O$105)+IF($M$7=4,($O$103)+IF($M51=$M$7+$N$7,$O$104,0),0),0)+IF($N51&lt;&gt;"",($N$7*$O$105)+IF($N$7=4,($O$103)+IF($N51=$M$7+$N$7,$O$104,0),0),0))</f>
        <v>2</v>
      </c>
      <c r="N52" s="125"/>
      <c r="O52" s="126">
        <f>(IF($O51&lt;&gt;"",($O$7*$O$105)+IF($O$7=4,($O$103)+IF($O51=$O$7+$P$7,$O$104,0),0),0)+IF($P51&lt;&gt;"",($P$7*$O$105)+IF($P$7=4,($O$103)+IF($P51=$O$7+$P$7,$O$104,0),0),0))</f>
        <v>2</v>
      </c>
      <c r="P52" s="125"/>
      <c r="Q52" s="126">
        <f>(IF($Q51&lt;&gt;"",($Q$7*$O$105)+IF($Q$7=4,($O$103)+IF($Q51=$Q$7+$R$7,$O$104,0),0),0)+IF($R51&lt;&gt;"",($R$7*$O$105)+IF($R$7=4,($O$103)+IF($R51=$Q$7+$R$7,$O$104,0),0),0))</f>
        <v>9</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14</v>
      </c>
      <c r="Y52" s="59"/>
      <c r="Z52" s="124">
        <f>(IF($Z51&lt;&gt;"",($Z$7*$P$105)+IF($Z$7=4,($P$103)+IF($Z51=$Z$7+$AA$7,$P$104,0),0),0)+IF($AA51&lt;&gt;"",($AA$7*$P$105)+IF($AA$7=4,($P$103)+IF($AA51=$Z$7+$AA$7,$P$104,0),0),0))</f>
        <v>18</v>
      </c>
      <c r="AA52" s="60"/>
      <c r="AB52" s="119"/>
      <c r="AC52" s="124">
        <f>(IF($AC51&lt;&gt;"",($AC$7*$Q$105)+IF($AC$7=4,($Q$103)+IF($AC51=$AC$7+$AD$7,$Q$104,0),0),0)+IF($AD51&lt;&gt;"",($AD$7*$Q$105)+IF($AD$7=4,($Q$103)+IF($AD51=$AC$7+$AD$7,$Q$104,0),0),0))</f>
        <v>1</v>
      </c>
      <c r="AD52" s="124"/>
      <c r="AE52" s="124">
        <f>(IF($AE51&lt;&gt;"",($AE$7*$Q$105)+IF($AE$7=4,($Q$103)+IF($AE51=$AE$7+$AF$7,$Q$104,0),0),0)+IF($AF51&lt;&gt;"",($AF$7*$Q$105)+IF($AF$7=4,($Q$103)+IF($AF51=$AE$7+$AF$7,$Q$104,0),0),0))</f>
        <v>1</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0</v>
      </c>
      <c r="J53" s="116">
        <f>IF(ISBLANK(J51),
0,
IF(J$7 = 4, 1, 0))</f>
        <v>0</v>
      </c>
      <c r="K53" s="116">
        <f>IF(ISBLANK(K51),
0,
IF(K$7= 4, 1, 0))</f>
        <v>0</v>
      </c>
      <c r="L53" s="116">
        <f>IF(ISBLANK(L51),
0,
IF(L$7 = 4, 1, 0))</f>
        <v>0</v>
      </c>
      <c r="M53" s="116">
        <f>IF(ISBLANK(M51),
0,
IF(M$7= 4, 1, 0))</f>
        <v>0</v>
      </c>
      <c r="N53" s="116">
        <f>IF(ISBLANK(N51),
0,
IF(N$7 = 4, 1, 0))</f>
        <v>0</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1</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4</v>
      </c>
      <c r="AL53" s="121"/>
    </row>
    <row r="54" spans="1:38" s="27" customFormat="1" hidden="1" x14ac:dyDescent="0.2">
      <c r="A54" s="97"/>
      <c r="B54" s="122" t="s">
        <v>53</v>
      </c>
      <c r="C54" s="116">
        <f>IF(C53 = 0,
0,
IF(C51 = (C$7+D$7),1,0))</f>
        <v>0</v>
      </c>
      <c r="D54" s="116">
        <f>IF(D53 = 0,
0,
IF(D51 = (C$7+D$7),1,0))</f>
        <v>0</v>
      </c>
      <c r="E54" s="116">
        <f>IF(E53 = 0,
0,
IF(E51 = (E$7+F$7),1,0))</f>
        <v>1</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0</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1</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2</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1</v>
      </c>
      <c r="AH55" s="100"/>
      <c r="AI55" s="57"/>
      <c r="AJ55" s="120">
        <f>AH56</f>
        <v>0</v>
      </c>
      <c r="AK55" s="109">
        <f>MAX($AL$11:$AL$98) - AL55</f>
        <v>24</v>
      </c>
      <c r="AL55" s="120">
        <f>$S55+$AB55+$AG55+$AJ55</f>
        <v>62</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1</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2</v>
      </c>
      <c r="AH59" s="230"/>
      <c r="AI59" s="215"/>
      <c r="AJ59" s="227">
        <f>AH60</f>
        <v>0</v>
      </c>
      <c r="AK59" s="229">
        <f>MAX($AL$11:$AL$98) - AL59</f>
        <v>30</v>
      </c>
      <c r="AL59" s="227">
        <f>$S59+$AB59+$AG59+$AJ59</f>
        <v>56</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1</v>
      </c>
      <c r="AD60" s="124"/>
      <c r="AE60" s="124">
        <f>(IF($AE59&lt;&gt;"",($AE$7*$Q$105)+IF($AE$7=4,($Q$103)+IF($AE59=$AE$7+$AF$7,$Q$104,0),0),0)+IF($AF59&lt;&gt;"",($AF$7*$Q$105)+IF($AF$7=4,($Q$103)+IF($AF59=$AE$7+$AF$7,$Q$104,0),0),0))</f>
        <v>1</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1</v>
      </c>
      <c r="AH63" s="100"/>
      <c r="AI63" s="57"/>
      <c r="AJ63" s="120">
        <f>AH64</f>
        <v>0</v>
      </c>
      <c r="AK63" s="109">
        <f>MAX($AL$11:$AL$98) - AL63</f>
        <v>32</v>
      </c>
      <c r="AL63" s="120">
        <f>$S63+$AB63+$AG63+$AJ63</f>
        <v>54</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1</v>
      </c>
      <c r="AD64" s="124"/>
      <c r="AE64" s="124">
        <f>(IF($AE63&lt;&gt;"",($AE$7*$Q$105)+IF($AE$7=4,($Q$103)+IF($AE63=$AE$7+$AF$7,$Q$104,0),0),0)+IF($AF63&lt;&gt;"",($AF$7*$Q$105)+IF($AF$7=4,($Q$103)+IF($AF63=$AE$7+$AF$7,$Q$104,0),0),0))</f>
        <v>0</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14</v>
      </c>
      <c r="B67" s="205" t="s">
        <v>80</v>
      </c>
      <c r="C67" s="217">
        <v>6</v>
      </c>
      <c r="D67" s="218"/>
      <c r="E67" s="222">
        <v>5</v>
      </c>
      <c r="F67" s="218"/>
      <c r="G67" s="220">
        <v>7</v>
      </c>
      <c r="H67" s="221"/>
      <c r="I67" s="222"/>
      <c r="J67" s="221">
        <v>6</v>
      </c>
      <c r="K67" s="223">
        <v>6</v>
      </c>
      <c r="L67" s="221"/>
      <c r="M67" s="222"/>
      <c r="N67" s="218">
        <v>7</v>
      </c>
      <c r="O67" s="222">
        <v>6</v>
      </c>
      <c r="P67" s="218"/>
      <c r="Q67" s="234">
        <v>7</v>
      </c>
      <c r="R67" s="225"/>
      <c r="S67" s="227">
        <f>SUM(C68:R68)</f>
        <v>35</v>
      </c>
      <c r="T67" s="217"/>
      <c r="U67" s="221">
        <v>7</v>
      </c>
      <c r="V67" s="222">
        <v>6</v>
      </c>
      <c r="W67" s="221"/>
      <c r="X67" s="223"/>
      <c r="Y67" s="218">
        <v>7</v>
      </c>
      <c r="Z67" s="220">
        <v>6</v>
      </c>
      <c r="AA67" s="221"/>
      <c r="AB67" s="227">
        <f>SUM(T68:AA68)</f>
        <v>19</v>
      </c>
      <c r="AC67" s="220"/>
      <c r="AD67" s="221">
        <v>7</v>
      </c>
      <c r="AE67" s="223"/>
      <c r="AF67" s="221">
        <v>7</v>
      </c>
      <c r="AG67" s="227">
        <f>SUM(AC68:AF68)</f>
        <v>0</v>
      </c>
      <c r="AH67" s="231"/>
      <c r="AI67" s="228"/>
      <c r="AJ67" s="227">
        <f>AH68</f>
        <v>0</v>
      </c>
      <c r="AK67" s="229">
        <f>MAX($AL$11:$AL$98) - AL67</f>
        <v>32</v>
      </c>
      <c r="AL67" s="227">
        <f>$S67+$AB67+$AG67+$AJ67</f>
        <v>54</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9</v>
      </c>
      <c r="N68" s="125"/>
      <c r="O68" s="126">
        <f>(IF($O67&lt;&gt;"",($O$7*$O$105)+IF($O$7=4,($O$103)+IF($O67=$O$7+$P$7,$O$104,0),0),0)+IF($P67&lt;&gt;"",($P$7*$O$105)+IF($P$7=4,($O$103)+IF($P67=$O$7+$P$7,$O$104,0),0),0))</f>
        <v>2</v>
      </c>
      <c r="P68" s="125"/>
      <c r="Q68" s="126">
        <f>(IF($Q67&lt;&gt;"",($Q$7*$O$105)+IF($Q$7=4,($O$103)+IF($Q67=$Q$7+$R$7,$O$104,0),0),0)+IF($R67&lt;&gt;"",($R$7*$O$105)+IF($R$7=4,($O$103)+IF($R67=$Q$7+$R$7,$O$104,0),0),0))</f>
        <v>11</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0</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1</v>
      </c>
      <c r="O69" s="116">
        <f>IF(ISBLANK(O67),
0,
IF(O$7= 4, 1, 0))</f>
        <v>0</v>
      </c>
      <c r="P69" s="116">
        <f>IF(ISBLANK(P67),
0,
IF(P$7 = 4, 1, 0))</f>
        <v>0</v>
      </c>
      <c r="Q69" s="116">
        <f>IF(ISBLANK(Q67),
0,
IF(Q$7= 4, 1, 0))</f>
        <v>1</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4</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1</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v>6</v>
      </c>
      <c r="AD71" s="47"/>
      <c r="AE71" s="49">
        <v>5</v>
      </c>
      <c r="AF71" s="47"/>
      <c r="AG71" s="120">
        <f>SUM(AC72:AF72)</f>
        <v>2</v>
      </c>
      <c r="AH71" s="98"/>
      <c r="AI71" s="58"/>
      <c r="AJ71" s="120">
        <f>AH72</f>
        <v>0</v>
      </c>
      <c r="AK71" s="109">
        <f>MAX($AL$11:$AL$98) - AL71</f>
        <v>34</v>
      </c>
      <c r="AL71" s="120">
        <f>$S71+$AB71+$AG71+$AJ71</f>
        <v>52</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1</v>
      </c>
      <c r="AD72" s="124"/>
      <c r="AE72" s="124">
        <f>(IF($AE71&lt;&gt;"",($AE$7*$Q$105)+IF($AE$7=4,($Q$103)+IF($AE71=$AE$7+$AF$7,$Q$104,0),0),0)+IF($AF71&lt;&gt;"",($AF$7*$Q$105)+IF($AF$7=4,($Q$103)+IF($AF71=$AE$7+$AF$7,$Q$104,0),0),0))</f>
        <v>1</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1</v>
      </c>
      <c r="AH75" s="231"/>
      <c r="AI75" s="228"/>
      <c r="AJ75" s="227">
        <f>AH76</f>
        <v>0</v>
      </c>
      <c r="AK75" s="229">
        <f>MAX($AL$11:$AL$98) - AL75</f>
        <v>37</v>
      </c>
      <c r="AL75" s="227">
        <f>$S75+$AB75+$AG75+$AJ75</f>
        <v>49</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1</v>
      </c>
      <c r="AD76" s="124"/>
      <c r="AE76" s="124">
        <f>(IF($AE75&lt;&gt;"",($AE$7*$Q$105)+IF($AE$7=4,($Q$103)+IF($AE75=$AE$7+$AF$7,$Q$104,0),0),0)+IF($AF75&lt;&gt;"",($AF$7*$Q$105)+IF($AF$7=4,($Q$103)+IF($AF75=$AE$7+$AF$7,$Q$104,0),0),0))</f>
        <v>0</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65</v>
      </c>
      <c r="C79" s="46">
        <v>5</v>
      </c>
      <c r="D79" s="45"/>
      <c r="E79" s="44"/>
      <c r="F79" s="45">
        <v>7</v>
      </c>
      <c r="G79" s="48">
        <v>4</v>
      </c>
      <c r="H79" s="47"/>
      <c r="I79" s="44"/>
      <c r="J79" s="47">
        <v>7</v>
      </c>
      <c r="K79" s="49">
        <v>6</v>
      </c>
      <c r="L79" s="47"/>
      <c r="M79" s="44">
        <v>6</v>
      </c>
      <c r="N79" s="45"/>
      <c r="O79" s="44">
        <v>7</v>
      </c>
      <c r="P79" s="45"/>
      <c r="Q79" s="48"/>
      <c r="R79" s="50">
        <v>6</v>
      </c>
      <c r="S79" s="120">
        <f>SUM(C80:R80)</f>
        <v>14</v>
      </c>
      <c r="T79" s="46"/>
      <c r="U79" s="47">
        <v>7</v>
      </c>
      <c r="V79" s="44">
        <v>5</v>
      </c>
      <c r="W79" s="47"/>
      <c r="X79" s="49">
        <v>6</v>
      </c>
      <c r="Y79" s="45"/>
      <c r="Z79" s="48">
        <v>6</v>
      </c>
      <c r="AA79" s="47"/>
      <c r="AB79" s="120">
        <f>SUM(T80:AA80)</f>
        <v>30</v>
      </c>
      <c r="AC79" s="48"/>
      <c r="AD79" s="47">
        <v>7</v>
      </c>
      <c r="AE79" s="49">
        <v>7</v>
      </c>
      <c r="AF79" s="47"/>
      <c r="AG79" s="120">
        <f>SUM(AC80:AF80)</f>
        <v>1</v>
      </c>
      <c r="AH79" s="98"/>
      <c r="AI79" s="58"/>
      <c r="AJ79" s="120">
        <f>AH80</f>
        <v>0</v>
      </c>
      <c r="AK79" s="109">
        <f>MAX($AL$11:$AL$98) - AL79</f>
        <v>41</v>
      </c>
      <c r="AL79" s="120">
        <f>$S79+$AB79+$AG79+$AJ79</f>
        <v>45</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0</v>
      </c>
      <c r="AD80" s="124"/>
      <c r="AE80" s="124">
        <f>(IF($AE79&lt;&gt;"",($AE$7*$Q$105)+IF($AE$7=4,($Q$103)+IF($AE79=$AE$7+$AF$7,$Q$104,0),0),0)+IF($AF79&lt;&gt;"",($AF$7*$Q$105)+IF($AF$7=4,($Q$103)+IF($AF79=$AE$7+$AF$7,$Q$104,0),0),0))</f>
        <v>1</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18</v>
      </c>
      <c r="B83" s="205" t="s">
        <v>77</v>
      </c>
      <c r="C83" s="217">
        <v>5</v>
      </c>
      <c r="D83" s="218"/>
      <c r="E83" s="222"/>
      <c r="F83" s="218">
        <v>7</v>
      </c>
      <c r="G83" s="220">
        <v>6</v>
      </c>
      <c r="H83" s="221"/>
      <c r="I83" s="222"/>
      <c r="J83" s="221">
        <v>7</v>
      </c>
      <c r="K83" s="223">
        <v>5</v>
      </c>
      <c r="L83" s="221"/>
      <c r="M83" s="222">
        <v>6</v>
      </c>
      <c r="N83" s="218"/>
      <c r="O83" s="222">
        <v>7</v>
      </c>
      <c r="P83" s="218"/>
      <c r="Q83" s="220"/>
      <c r="R83" s="225">
        <v>7</v>
      </c>
      <c r="S83" s="227">
        <f>SUM(C84:R84)</f>
        <v>14</v>
      </c>
      <c r="T83" s="217"/>
      <c r="U83" s="221">
        <v>7</v>
      </c>
      <c r="V83" s="222">
        <v>7</v>
      </c>
      <c r="W83" s="221"/>
      <c r="X83" s="223">
        <v>6</v>
      </c>
      <c r="Y83" s="218"/>
      <c r="Z83" s="220">
        <v>6</v>
      </c>
      <c r="AA83" s="221"/>
      <c r="AB83" s="227">
        <f>SUM(T84:AA84)</f>
        <v>30</v>
      </c>
      <c r="AC83" s="220">
        <v>7</v>
      </c>
      <c r="AD83" s="221"/>
      <c r="AE83" s="223"/>
      <c r="AF83" s="221">
        <v>7</v>
      </c>
      <c r="AG83" s="227">
        <f>SUM(AC84:AF84)</f>
        <v>1</v>
      </c>
      <c r="AH83" s="231"/>
      <c r="AI83" s="228"/>
      <c r="AJ83" s="227">
        <f>AH84</f>
        <v>0</v>
      </c>
      <c r="AK83" s="229">
        <f>MAX($AL$11:$AL$98) - AL83</f>
        <v>41</v>
      </c>
      <c r="AL83" s="227">
        <f>$S83+$AB83+$AG83+$AJ83</f>
        <v>45</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3</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0</v>
      </c>
      <c r="W84" s="124"/>
      <c r="X84" s="124">
        <f>(IF($X83&lt;&gt;"",($X$7*$P$105)+IF($X$7=4,($P$103)+IF($X83=$X$7+$Y$7,$P$104,0),0),0)+IF($Y83&lt;&gt;"",($Y$7*$P$105)+IF($Y$7=4,($P$103)+IF($Y83=$X$7+$Y$7,$P$104,0),0),0))</f>
        <v>14</v>
      </c>
      <c r="Y84" s="59"/>
      <c r="Z84" s="124">
        <f>(IF($Z83&lt;&gt;"",($Z$7*$P$105)+IF($Z$7=4,($P$103)+IF($Z83=$Z$7+$AA$7,$P$104,0),0),0)+IF($AA83&lt;&gt;"",($AA$7*$P$105)+IF($AA$7=4,($P$103)+IF($AA83=$Z$7+$AA$7,$P$104,0),0),0))</f>
        <v>14</v>
      </c>
      <c r="AA84" s="60"/>
      <c r="AB84" s="119"/>
      <c r="AC84" s="124">
        <f>(IF($AC83&lt;&gt;"",($AC$7*$Q$105)+IF($AC$7=4,($Q$103)+IF($AC83=$AC$7+$AD$7,$Q$104,0),0),0)+IF($AD83&lt;&gt;"",($AD$7*$Q$105)+IF($AD$7=4,($Q$103)+IF($AD83=$AC$7+$AD$7,$Q$104,0),0),0))</f>
        <v>1</v>
      </c>
      <c r="AD84" s="124"/>
      <c r="AE84" s="124">
        <f>(IF($AE83&lt;&gt;"",($AE$7*$Q$105)+IF($AE$7=4,($Q$103)+IF($AE83=$AE$7+$AF$7,$Q$104,0),0),0)+IF($AF83&lt;&gt;"",($AF$7*$Q$105)+IF($AF$7=4,($Q$103)+IF($AF83=$AE$7+$AF$7,$Q$104,0),0),0))</f>
        <v>0</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0</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0</v>
      </c>
      <c r="X85" s="116">
        <f>IF(ISBLANK(X83),
0,
IF(X$7= 4, 1, 0))</f>
        <v>1</v>
      </c>
      <c r="Y85" s="116">
        <f>IF(ISBLANK(Y83),
0,
IF(Y$7 = 4, 1, 0))</f>
        <v>0</v>
      </c>
      <c r="Z85" s="116">
        <f>IF(ISBLANK(Z83),
0,
IF(Z$7= 4, 1, 0))</f>
        <v>1</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81</v>
      </c>
      <c r="C87" s="46">
        <v>6</v>
      </c>
      <c r="D87" s="45"/>
      <c r="E87" s="44">
        <v>6</v>
      </c>
      <c r="F87" s="45"/>
      <c r="G87" s="48">
        <v>6</v>
      </c>
      <c r="H87" s="47"/>
      <c r="I87" s="44"/>
      <c r="J87" s="47">
        <v>7</v>
      </c>
      <c r="K87" s="49">
        <v>5</v>
      </c>
      <c r="L87" s="47"/>
      <c r="M87" s="44">
        <v>7</v>
      </c>
      <c r="N87" s="45"/>
      <c r="O87" s="44">
        <v>6</v>
      </c>
      <c r="P87" s="45"/>
      <c r="Q87" s="48"/>
      <c r="R87" s="50">
        <v>6</v>
      </c>
      <c r="S87" s="120">
        <f>SUM(C88:R88)</f>
        <v>20</v>
      </c>
      <c r="T87" s="46"/>
      <c r="U87" s="47">
        <v>6</v>
      </c>
      <c r="V87" s="44"/>
      <c r="W87" s="47">
        <v>6</v>
      </c>
      <c r="X87" s="49"/>
      <c r="Y87" s="45">
        <v>7</v>
      </c>
      <c r="Z87" s="48"/>
      <c r="AA87" s="47">
        <v>6</v>
      </c>
      <c r="AB87" s="120">
        <f>SUM(T88:AA88)</f>
        <v>22</v>
      </c>
      <c r="AC87" s="48">
        <v>6</v>
      </c>
      <c r="AD87" s="47"/>
      <c r="AE87" s="49">
        <v>6</v>
      </c>
      <c r="AF87" s="47"/>
      <c r="AG87" s="120">
        <f>SUM(AC88:AF88)</f>
        <v>2</v>
      </c>
      <c r="AH87" s="98"/>
      <c r="AI87" s="58"/>
      <c r="AJ87" s="120">
        <f>AH88</f>
        <v>0</v>
      </c>
      <c r="AK87" s="109">
        <f>MAX($AL$11:$AL$98) - AL87</f>
        <v>42</v>
      </c>
      <c r="AL87" s="120">
        <f>$S87+$AB87+$AG87+$AJ87</f>
        <v>44</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9</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14</v>
      </c>
      <c r="W88" s="124"/>
      <c r="X88" s="124">
        <f>(IF($X87&lt;&gt;"",($X$7*$P$105)+IF($X$7=4,($P$103)+IF($X87=$X$7+$Y$7,$P$104,0),0),0)+IF($Y87&lt;&gt;"",($Y$7*$P$105)+IF($Y$7=4,($P$103)+IF($Y87=$X$7+$Y$7,$P$104,0),0),0))</f>
        <v>3</v>
      </c>
      <c r="Y88" s="59"/>
      <c r="Z88" s="124">
        <f>(IF($Z87&lt;&gt;"",($Z$7*$P$105)+IF($Z$7=4,($P$103)+IF($Z87=$Z$7+$AA$7,$P$104,0),0),0)+IF($AA87&lt;&gt;"",($AA$7*$P$105)+IF($AA$7=4,($P$103)+IF($AA87=$Z$7+$AA$7,$P$104,0),0),0))</f>
        <v>3</v>
      </c>
      <c r="AA88" s="60"/>
      <c r="AB88" s="119"/>
      <c r="AC88" s="124">
        <f>(IF($AC87&lt;&gt;"",($AC$7*$Q$105)+IF($AC$7=4,($Q$103)+IF($AC87=$AC$7+$AD$7,$Q$104,0),0),0)+IF($AD87&lt;&gt;"",($AD$7*$Q$105)+IF($AD$7=4,($Q$103)+IF($AD87=$AC$7+$AD$7,$Q$104,0),0),0))</f>
        <v>1</v>
      </c>
      <c r="AD88" s="124"/>
      <c r="AE88" s="124">
        <f>(IF($AE87&lt;&gt;"",($AE$7*$Q$105)+IF($AE$7=4,($Q$103)+IF($AE87=$AE$7+$AF$7,$Q$104,0),0),0)+IF($AF87&lt;&gt;"",($AF$7*$Q$105)+IF($AF$7=4,($Q$103)+IF($AF87=$AE$7+$AF$7,$Q$104,0),0),0))</f>
        <v>1</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1</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1</v>
      </c>
      <c r="X89" s="116">
        <f>IF(ISBLANK(X87),
0,
IF(X$7= 4, 1, 0))</f>
        <v>0</v>
      </c>
      <c r="Y89" s="116">
        <f>IF(ISBLANK(Y87),
0,
IF(Y$7 = 4, 1, 0))</f>
        <v>0</v>
      </c>
      <c r="Z89" s="116">
        <f>IF(ISBLANK(Z87),
0,
IF(Z$7= 4, 1, 0))</f>
        <v>0</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0</v>
      </c>
      <c r="AH91" s="231"/>
      <c r="AI91" s="228"/>
      <c r="AJ91" s="227">
        <f>AH92</f>
        <v>0</v>
      </c>
      <c r="AK91" s="229">
        <f>MAX($AL$11:$AL$98) - AL91</f>
        <v>53</v>
      </c>
      <c r="AL91" s="227">
        <f>$S91+$AB91+$AG91+$AJ91</f>
        <v>33</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0</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0</v>
      </c>
      <c r="AH95" s="98"/>
      <c r="AI95" s="58"/>
      <c r="AJ95" s="120">
        <f>AH96</f>
        <v>0</v>
      </c>
      <c r="AK95" s="109">
        <f>MAX($AL$11:$AL$98) - AL95</f>
        <v>58</v>
      </c>
      <c r="AL95" s="168">
        <f>$S95+$AB95+$AG95+$AJ95</f>
        <v>28</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0</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5" t="s">
        <v>17</v>
      </c>
      <c r="P101" s="296"/>
      <c r="Q101" s="296"/>
      <c r="R101" s="297"/>
      <c r="AG101" s="30"/>
      <c r="AH101" s="30"/>
      <c r="AI101" s="30"/>
      <c r="AJ101" s="30"/>
      <c r="AK101" s="30"/>
    </row>
    <row r="102" spans="1:38" ht="13.5" thickBot="1" x14ac:dyDescent="0.25">
      <c r="A102" s="33"/>
      <c r="B102" s="285" t="s">
        <v>16</v>
      </c>
      <c r="C102" s="286"/>
      <c r="D102" s="286"/>
      <c r="E102" s="286"/>
      <c r="F102" s="286"/>
      <c r="G102" s="286"/>
      <c r="H102" s="286"/>
      <c r="I102" s="286"/>
      <c r="J102" s="286"/>
      <c r="K102" s="286"/>
      <c r="L102" s="286"/>
      <c r="M102" s="286"/>
      <c r="N102" s="287"/>
      <c r="O102" s="21">
        <v>1</v>
      </c>
      <c r="P102" s="21">
        <v>2</v>
      </c>
      <c r="Q102" s="21">
        <v>3</v>
      </c>
      <c r="R102" s="22">
        <v>4</v>
      </c>
      <c r="U102" s="298" t="s">
        <v>26</v>
      </c>
      <c r="V102" s="299"/>
      <c r="W102" s="299"/>
      <c r="X102" s="299"/>
      <c r="Y102" s="299"/>
      <c r="Z102" s="299"/>
      <c r="AA102" s="299"/>
      <c r="AB102" s="299"/>
      <c r="AC102" s="299"/>
      <c r="AD102" s="300"/>
      <c r="AE102" s="28"/>
      <c r="AF102" s="28"/>
      <c r="AG102" s="301" t="s">
        <v>24</v>
      </c>
      <c r="AH102" s="302"/>
      <c r="AI102" s="302"/>
      <c r="AJ102" s="302"/>
      <c r="AK102" s="303"/>
    </row>
    <row r="103" spans="1:38" x14ac:dyDescent="0.2">
      <c r="A103" s="34"/>
      <c r="B103" s="272" t="s">
        <v>6</v>
      </c>
      <c r="C103" s="266"/>
      <c r="D103" s="266"/>
      <c r="E103" s="266"/>
      <c r="F103" s="266"/>
      <c r="G103" s="266"/>
      <c r="H103" s="266"/>
      <c r="I103" s="266"/>
      <c r="J103" s="266"/>
      <c r="K103" s="266"/>
      <c r="L103" s="266"/>
      <c r="M103" s="266"/>
      <c r="N103" s="267"/>
      <c r="O103" s="20">
        <v>5</v>
      </c>
      <c r="P103" s="20">
        <v>10</v>
      </c>
      <c r="Q103" s="20">
        <v>15</v>
      </c>
      <c r="R103" s="23">
        <v>20</v>
      </c>
      <c r="U103" s="290" t="s">
        <v>20</v>
      </c>
      <c r="V103" s="291"/>
      <c r="W103" s="291"/>
      <c r="X103" s="291"/>
      <c r="Y103" s="291"/>
      <c r="Z103" s="291"/>
      <c r="AA103" s="291"/>
      <c r="AB103" s="288">
        <v>22</v>
      </c>
      <c r="AC103" s="288"/>
      <c r="AD103" s="289"/>
      <c r="AE103" s="29"/>
      <c r="AF103" s="29"/>
      <c r="AG103" s="262" t="s">
        <v>21</v>
      </c>
      <c r="AH103" s="263"/>
      <c r="AI103" s="263"/>
      <c r="AJ103" s="264"/>
      <c r="AK103" s="173">
        <v>230</v>
      </c>
    </row>
    <row r="104" spans="1:38" ht="13.5" thickBot="1" x14ac:dyDescent="0.25">
      <c r="A104" s="34"/>
      <c r="B104" s="272" t="s">
        <v>5</v>
      </c>
      <c r="C104" s="266"/>
      <c r="D104" s="266"/>
      <c r="E104" s="266"/>
      <c r="F104" s="266"/>
      <c r="G104" s="266"/>
      <c r="H104" s="266"/>
      <c r="I104" s="266"/>
      <c r="J104" s="266"/>
      <c r="K104" s="266"/>
      <c r="L104" s="266"/>
      <c r="M104" s="266"/>
      <c r="N104" s="267"/>
      <c r="O104" s="20">
        <v>2</v>
      </c>
      <c r="P104" s="20">
        <v>4</v>
      </c>
      <c r="Q104" s="20">
        <v>6</v>
      </c>
      <c r="R104" s="23">
        <v>8</v>
      </c>
      <c r="U104" s="268" t="s">
        <v>18</v>
      </c>
      <c r="V104" s="269"/>
      <c r="W104" s="269"/>
      <c r="X104" s="269"/>
      <c r="Y104" s="269"/>
      <c r="Z104" s="269"/>
      <c r="AA104" s="269"/>
      <c r="AB104" s="270">
        <v>20</v>
      </c>
      <c r="AC104" s="270"/>
      <c r="AD104" s="271"/>
      <c r="AE104" s="29"/>
      <c r="AF104" s="29"/>
      <c r="AG104" s="265" t="s">
        <v>22</v>
      </c>
      <c r="AH104" s="266"/>
      <c r="AI104" s="266"/>
      <c r="AJ104" s="267"/>
      <c r="AK104" s="36">
        <v>115</v>
      </c>
    </row>
    <row r="105" spans="1:38" ht="14.25" thickTop="1" thickBot="1" x14ac:dyDescent="0.25">
      <c r="A105" s="35"/>
      <c r="B105" s="282" t="s">
        <v>4</v>
      </c>
      <c r="C105" s="283"/>
      <c r="D105" s="283"/>
      <c r="E105" s="283"/>
      <c r="F105" s="283"/>
      <c r="G105" s="283"/>
      <c r="H105" s="283"/>
      <c r="I105" s="283"/>
      <c r="J105" s="283"/>
      <c r="K105" s="283"/>
      <c r="L105" s="283"/>
      <c r="M105" s="283"/>
      <c r="N105" s="284"/>
      <c r="O105" s="3">
        <v>1</v>
      </c>
      <c r="P105" s="3">
        <v>1</v>
      </c>
      <c r="Q105" s="3">
        <v>1</v>
      </c>
      <c r="R105" s="24">
        <v>1</v>
      </c>
      <c r="U105" s="292" t="s">
        <v>19</v>
      </c>
      <c r="V105" s="274"/>
      <c r="W105" s="274"/>
      <c r="X105" s="274"/>
      <c r="Y105" s="274"/>
      <c r="Z105" s="274"/>
      <c r="AA105" s="274"/>
      <c r="AB105" s="293">
        <f>AB103*AB104</f>
        <v>440</v>
      </c>
      <c r="AC105" s="293"/>
      <c r="AD105" s="294"/>
      <c r="AE105" s="29"/>
      <c r="AF105" s="29"/>
      <c r="AG105" s="265" t="s">
        <v>25</v>
      </c>
      <c r="AH105" s="266"/>
      <c r="AI105" s="266"/>
      <c r="AJ105" s="267"/>
      <c r="AK105" s="36">
        <v>65</v>
      </c>
    </row>
    <row r="106" spans="1:38" ht="13.5" thickBot="1" x14ac:dyDescent="0.25">
      <c r="AG106" s="268" t="s">
        <v>23</v>
      </c>
      <c r="AH106" s="269"/>
      <c r="AI106" s="269"/>
      <c r="AJ106" s="269"/>
      <c r="AK106" s="175">
        <v>30</v>
      </c>
    </row>
    <row r="107" spans="1:38" ht="14.25" thickTop="1" thickBot="1" x14ac:dyDescent="0.25">
      <c r="AG107" s="273" t="s">
        <v>19</v>
      </c>
      <c r="AH107" s="274"/>
      <c r="AI107" s="274"/>
      <c r="AJ107" s="274"/>
      <c r="AK107" s="174">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B23" sqref="AB23"/>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c r="AC8" s="79"/>
      <c r="AD8" s="79"/>
      <c r="AE8" s="79"/>
      <c r="AF8" s="79"/>
      <c r="AG8" s="79"/>
      <c r="AH8" s="71">
        <f>IF(AA8&gt;AA9,1,0)+IF(AB8&gt;AB9,1,0)+IF(AC8&gt;AC9,1,0)+IF(AD8&gt;AD9,1,0)+IF(AE8&gt;AE9,1,0)+IF(AF8&gt;AF9,1,0)+IF(AG8&gt;AG9,1,0)</f>
        <v>1</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c r="AC9" s="79"/>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c r="AC22" s="79"/>
      <c r="AD22" s="79"/>
      <c r="AE22" s="79"/>
      <c r="AF22" s="79"/>
      <c r="AG22" s="79"/>
      <c r="AH22" s="71">
        <f>IF(AA22&gt;AA23,1,0)+IF(AB22&gt;AB23,1,0)+IF(AC22&gt;AC23,1,0)+IF(AD22&gt;AD23,1,0)+IF(AE22&gt;AE23,1,0)+IF(AF22&gt;AF23,1,0)+IF(AG22&gt;AG23,1,0)</f>
        <v>1</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c r="AC23" s="79"/>
      <c r="AD23" s="79"/>
      <c r="AE23" s="79"/>
      <c r="AF23" s="79"/>
      <c r="AG23" s="79"/>
      <c r="AH23" s="71">
        <f>IF(AA23&gt;AA22,1,0)+IF(AB23&gt;AB22,1,0)+IF(AC23&gt;AC22,1,0)+IF(AD23&gt;AD22,1,0)+IF(AE23&gt;AE22,1,0)+IF(AF23&gt;AF22,1,0)+IF(AG23&gt;AG22,1,0)</f>
        <v>0</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2019-05-10T16:08:40Z</cp:lastPrinted>
  <dcterms:created xsi:type="dcterms:W3CDTF">2007-04-21T15:38:41Z</dcterms:created>
  <dcterms:modified xsi:type="dcterms:W3CDTF">2019-05-12T11:48:29Z</dcterms:modified>
</cp:coreProperties>
</file>