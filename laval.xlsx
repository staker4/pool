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50" i="16"/>
  <c r="AG50" i="16"/>
  <c r="AB50"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4" i="16"/>
  <c r="AG74" i="16"/>
  <c r="AB74" i="16"/>
  <c r="P92" i="16"/>
  <c r="P93" i="16" s="1"/>
  <c r="L92" i="16"/>
  <c r="L93" i="16" s="1"/>
  <c r="I92" i="16"/>
  <c r="I93" i="16" s="1"/>
  <c r="F92" i="16"/>
  <c r="F93" i="16" s="1"/>
  <c r="D92" i="16"/>
  <c r="D93" i="16" s="1"/>
  <c r="AJ30" i="16"/>
  <c r="AG30" i="16"/>
  <c r="AB30" i="16"/>
  <c r="P84" i="16"/>
  <c r="P85" i="16" s="1"/>
  <c r="L84" i="16"/>
  <c r="L85" i="16" s="1"/>
  <c r="I84" i="16"/>
  <c r="I85" i="16" s="1"/>
  <c r="F84" i="16"/>
  <c r="F85" i="16" s="1"/>
  <c r="D84" i="16"/>
  <c r="D85" i="16" s="1"/>
  <c r="AJ78" i="16"/>
  <c r="AG78" i="16"/>
  <c r="AB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56" i="16" s="1"/>
  <c r="Q57" i="16" s="1"/>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F28" i="16" l="1"/>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50" i="16" l="1"/>
  <c r="AL50" i="16" s="1"/>
  <c r="C89" i="16"/>
  <c r="AK89" i="16" s="1"/>
  <c r="AK88" i="16"/>
  <c r="S74" i="16"/>
  <c r="AL74" i="16" s="1"/>
  <c r="C97" i="16"/>
  <c r="AK97" i="16" s="1"/>
  <c r="AK96" i="16"/>
  <c r="C53" i="16"/>
  <c r="AK53" i="16" s="1"/>
  <c r="AK52" i="16"/>
  <c r="C57" i="16"/>
  <c r="AK57" i="16" s="1"/>
  <c r="AK56" i="16"/>
  <c r="S30" i="16"/>
  <c r="AL3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2" i="16"/>
  <c r="AG22" i="16"/>
  <c r="AB22" i="16"/>
  <c r="AB34" i="16"/>
  <c r="AG34" i="16"/>
  <c r="AJ42" i="16"/>
  <c r="AJ34" i="16"/>
  <c r="AJ66" i="16"/>
  <c r="AJ82" i="16"/>
  <c r="AJ26" i="16"/>
  <c r="AB66" i="16"/>
  <c r="AG66" i="16"/>
  <c r="AJ14" i="16"/>
  <c r="AJ54" i="16"/>
  <c r="AJ46" i="16"/>
  <c r="AG46" i="16"/>
  <c r="AB46" i="16"/>
  <c r="S14" i="16"/>
  <c r="S54" i="16"/>
  <c r="S46" i="16"/>
  <c r="S66" i="16"/>
  <c r="AJ86" i="16"/>
  <c r="AJ10" i="16"/>
  <c r="AJ90" i="16"/>
  <c r="AJ70" i="16"/>
  <c r="AJ62" i="16"/>
  <c r="AJ58" i="16"/>
  <c r="AG86" i="16"/>
  <c r="AB86" i="16"/>
  <c r="S42" i="16"/>
  <c r="AJ94" i="16"/>
  <c r="AJ18" i="16"/>
  <c r="AJ38" i="16"/>
  <c r="AG58" i="16"/>
  <c r="AG90" i="16"/>
  <c r="AG18" i="16"/>
  <c r="AG70" i="16"/>
  <c r="AG26" i="16"/>
  <c r="AG38" i="16"/>
  <c r="AG54" i="16"/>
  <c r="AG14" i="16"/>
  <c r="AG62" i="16"/>
  <c r="AG42" i="16"/>
  <c r="AG94" i="16"/>
  <c r="AG82" i="16"/>
  <c r="AG10" i="16"/>
  <c r="AB54" i="16"/>
  <c r="AB90" i="16"/>
  <c r="AB62" i="16"/>
  <c r="AB14" i="16"/>
  <c r="AB26" i="16"/>
  <c r="AB18" i="16"/>
  <c r="AB82" i="16"/>
  <c r="AB42" i="16"/>
  <c r="AB58" i="16"/>
  <c r="AB70" i="16"/>
  <c r="AB94" i="16"/>
  <c r="AB10" i="16"/>
  <c r="AB38" i="16"/>
  <c r="S18" i="16"/>
  <c r="S22" i="16"/>
  <c r="S34" i="16"/>
  <c r="S58" i="16"/>
  <c r="S26" i="16"/>
  <c r="S94" i="16"/>
  <c r="S86" i="16"/>
  <c r="S62" i="16"/>
  <c r="S70" i="16"/>
  <c r="S90" i="16"/>
  <c r="S38" i="16"/>
  <c r="S10" i="16"/>
  <c r="S82" i="16"/>
  <c r="AL62" i="16" l="1"/>
  <c r="AL66" i="16"/>
  <c r="AL22" i="16"/>
  <c r="AL34" i="16"/>
  <c r="AL26" i="16"/>
  <c r="AL14" i="16"/>
  <c r="AL82" i="16"/>
  <c r="AL90" i="16"/>
  <c r="AL10" i="16"/>
  <c r="AL46" i="16"/>
  <c r="AL38" i="16"/>
  <c r="AL70" i="16"/>
  <c r="AL42" i="16"/>
  <c r="AL18" i="16"/>
  <c r="AL54" i="16"/>
  <c r="AL58" i="16"/>
  <c r="AL86" i="16"/>
  <c r="AL94" i="16"/>
  <c r="AK50" i="16" l="1"/>
  <c r="A87" i="16"/>
  <c r="A50" i="16"/>
  <c r="AK74" i="16"/>
  <c r="A74" i="16"/>
  <c r="A78" i="16"/>
  <c r="A95" i="16"/>
  <c r="AK30" i="16"/>
  <c r="A30" i="16"/>
  <c r="A91" i="16"/>
  <c r="A83" i="16"/>
  <c r="AK78" i="16"/>
  <c r="A55" i="16"/>
  <c r="A79" i="16"/>
  <c r="A75" i="16"/>
  <c r="A59" i="16"/>
  <c r="A67" i="16"/>
  <c r="A71" i="16"/>
  <c r="A63" i="16"/>
  <c r="A51" i="16"/>
  <c r="A11" i="16"/>
  <c r="A10" i="16"/>
  <c r="A86" i="16"/>
  <c r="A58" i="16"/>
  <c r="A54" i="16"/>
  <c r="A90" i="16"/>
  <c r="A18" i="16"/>
  <c r="A82" i="16"/>
  <c r="A14" i="16"/>
  <c r="A26" i="16"/>
  <c r="A38" i="16"/>
  <c r="A34" i="16"/>
  <c r="A62" i="16"/>
  <c r="A42" i="16"/>
  <c r="A47" i="16"/>
  <c r="A31" i="16"/>
  <c r="A15" i="16"/>
  <c r="A43" i="16"/>
  <c r="A70" i="16"/>
  <c r="A27" i="16"/>
  <c r="A39" i="16"/>
  <c r="A23" i="16"/>
  <c r="A35" i="16"/>
  <c r="A19" i="16"/>
  <c r="A94" i="16"/>
  <c r="A46" i="16"/>
  <c r="A22" i="16"/>
  <c r="A66" i="16"/>
  <c r="AK38" i="16"/>
  <c r="AK34" i="16"/>
  <c r="AK43" i="16"/>
  <c r="AK39" i="16"/>
  <c r="AK35" i="16"/>
  <c r="AK19" i="16"/>
  <c r="AK31" i="16"/>
  <c r="AK27" i="16"/>
  <c r="AK23" i="16"/>
  <c r="AK47" i="16"/>
  <c r="AK15" i="16"/>
  <c r="AK70" i="16"/>
  <c r="AK26" i="16"/>
  <c r="AK94" i="16"/>
  <c r="AK46" i="16"/>
  <c r="AK22" i="16"/>
  <c r="AK86" i="16"/>
  <c r="AK10" i="16"/>
  <c r="AK66" i="16"/>
  <c r="AK58" i="16"/>
  <c r="AK54" i="16"/>
  <c r="AK90" i="16"/>
  <c r="AK62" i="16"/>
  <c r="AK82" i="16"/>
  <c r="AK18" i="16"/>
  <c r="AK42" i="16"/>
  <c r="AK14"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<sst xmlns="http://schemas.openxmlformats.org/spreadsheetml/2006/main" count="161" uniqueCount="86">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</sst>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25">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7" xfId="0" applyFont="1" applyFill="1" applyBorder="1" applyAlignment="1">
      <alignment horizontal="center"/>
    </xf>
    <xf numFmtId="0" fontId="11" fillId="7" borderId="69"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7"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9" fillId="7" borderId="102"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0" borderId="44" xfId="0" applyFont="1" applyFill="1" applyBorder="1" applyAlignment="1">
      <alignment horizontal="center"/>
    </xf>
    <xf numFmtId="0" fontId="19" fillId="0" borderId="22" xfId="0" applyFont="1" applyFill="1" applyBorder="1" applyAlignment="1">
      <alignment horizontal="center"/>
    </xf>
    <xf numFmtId="0" fontId="19" fillId="7" borderId="23" xfId="0" applyFont="1" applyFill="1" applyBorder="1" applyAlignment="1">
      <alignment horizont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11" fillId="8" borderId="27" xfId="0" applyFont="1" applyFill="1" applyBorder="1" applyAlignment="1">
      <alignment horizontal="center" vertical="center" textRotation="90"/>
    </xf>
    <xf numFmtId="0" fontId="11" fillId="8" borderId="108"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14" fillId="0" borderId="27"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1" fillId="3" borderId="94"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90"/>
      <c r="D1" s="290"/>
      <c r="E1" s="290"/>
      <c r="F1" s="290"/>
      <c r="G1" s="290"/>
      <c r="H1" s="290"/>
      <c r="I1" s="290"/>
      <c r="J1" s="290"/>
      <c r="K1" s="290"/>
      <c r="L1" s="290"/>
      <c r="M1" s="290"/>
      <c r="N1" s="290"/>
      <c r="O1" s="290"/>
      <c r="P1" s="291"/>
      <c r="Q1" s="291"/>
      <c r="R1" s="291"/>
      <c r="S1" s="291"/>
      <c r="T1" s="291"/>
      <c r="U1" s="291"/>
      <c r="V1" s="291"/>
      <c r="W1" s="291"/>
      <c r="X1" s="291"/>
      <c r="Y1" s="291"/>
      <c r="Z1" s="291"/>
      <c r="AA1" s="291"/>
      <c r="AB1" s="291"/>
      <c r="AC1" s="291"/>
      <c r="AD1" s="291"/>
      <c r="AE1" s="291"/>
      <c r="AF1" s="291"/>
      <c r="AG1" s="291"/>
      <c r="AH1" s="291"/>
      <c r="AI1" s="291"/>
      <c r="AJ1" s="291"/>
    </row>
    <row r="2" spans="1:38" x14ac:dyDescent="0.2">
      <c r="A2" s="41"/>
      <c r="C2" s="292" t="s">
        <v>49</v>
      </c>
      <c r="D2" s="292"/>
      <c r="E2" s="292"/>
      <c r="F2" s="292"/>
      <c r="G2" s="292"/>
      <c r="H2" s="292"/>
      <c r="I2" s="292"/>
      <c r="J2" s="292"/>
      <c r="K2" s="292"/>
      <c r="L2" s="292"/>
      <c r="M2" s="292"/>
      <c r="N2" s="292"/>
      <c r="O2" s="292"/>
      <c r="P2" s="292"/>
      <c r="Q2" s="293" t="s">
        <v>50</v>
      </c>
      <c r="R2" s="291"/>
      <c r="S2" s="291"/>
      <c r="T2" s="291"/>
      <c r="U2" s="291"/>
      <c r="V2" s="291"/>
      <c r="W2" s="291"/>
      <c r="X2" s="291"/>
      <c r="Y2" s="291"/>
      <c r="Z2" s="291"/>
      <c r="AA2" s="291"/>
      <c r="AB2" s="291"/>
      <c r="AC2" s="291"/>
      <c r="AD2" s="291"/>
      <c r="AE2" s="291"/>
      <c r="AF2" s="291"/>
      <c r="AG2" s="291"/>
      <c r="AH2" s="291"/>
      <c r="AI2" s="291"/>
      <c r="AJ2" s="291"/>
    </row>
    <row r="3" spans="1:38" ht="6.95" customHeight="1" thickBot="1" x14ac:dyDescent="0.25">
      <c r="C3" s="290"/>
      <c r="D3" s="290"/>
      <c r="E3" s="290"/>
      <c r="F3" s="290"/>
      <c r="G3" s="290"/>
      <c r="H3" s="290"/>
      <c r="I3" s="290"/>
      <c r="J3" s="290"/>
      <c r="K3" s="290"/>
      <c r="L3" s="290"/>
      <c r="M3" s="290"/>
      <c r="N3" s="290"/>
      <c r="O3" s="290"/>
      <c r="P3" s="291"/>
      <c r="Q3" s="291"/>
      <c r="R3" s="291"/>
      <c r="S3" s="291"/>
      <c r="T3" s="291"/>
      <c r="U3" s="291"/>
      <c r="V3" s="291"/>
      <c r="W3" s="291"/>
      <c r="X3" s="291"/>
      <c r="Y3" s="291"/>
      <c r="Z3" s="291"/>
      <c r="AA3" s="291"/>
      <c r="AB3" s="291"/>
      <c r="AC3" s="291"/>
      <c r="AD3" s="291"/>
      <c r="AE3" s="291"/>
      <c r="AF3" s="291"/>
      <c r="AG3" s="291"/>
      <c r="AH3" s="291"/>
      <c r="AI3" s="291"/>
      <c r="AJ3" s="291"/>
    </row>
    <row r="4" spans="1:38" ht="13.5" thickBot="1" x14ac:dyDescent="0.25">
      <c r="C4" s="315" t="s">
        <v>0</v>
      </c>
      <c r="D4" s="316"/>
      <c r="E4" s="316"/>
      <c r="F4" s="316"/>
      <c r="G4" s="316"/>
      <c r="H4" s="316"/>
      <c r="I4" s="316"/>
      <c r="J4" s="316"/>
      <c r="K4" s="316"/>
      <c r="L4" s="316"/>
      <c r="M4" s="316"/>
      <c r="N4" s="316"/>
      <c r="O4" s="316"/>
      <c r="P4" s="316"/>
      <c r="Q4" s="316"/>
      <c r="R4" s="316"/>
      <c r="S4" s="317"/>
      <c r="T4" s="315" t="s">
        <v>1</v>
      </c>
      <c r="U4" s="316"/>
      <c r="V4" s="316"/>
      <c r="W4" s="316"/>
      <c r="X4" s="316"/>
      <c r="Y4" s="316"/>
      <c r="Z4" s="316"/>
      <c r="AA4" s="316"/>
      <c r="AB4" s="317"/>
      <c r="AC4" s="315" t="s">
        <v>2</v>
      </c>
      <c r="AD4" s="316"/>
      <c r="AE4" s="316"/>
      <c r="AF4" s="316"/>
      <c r="AG4" s="324"/>
      <c r="AH4" s="315" t="s">
        <v>10</v>
      </c>
      <c r="AI4" s="316"/>
      <c r="AJ4" s="317"/>
    </row>
    <row r="5" spans="1:38" ht="12.75" customHeight="1" x14ac:dyDescent="0.2">
      <c r="A5" s="32"/>
      <c r="B5" s="4"/>
      <c r="C5" s="284" t="s">
        <v>9</v>
      </c>
      <c r="D5" s="285"/>
      <c r="E5" s="285"/>
      <c r="F5" s="285"/>
      <c r="G5" s="285"/>
      <c r="H5" s="285"/>
      <c r="I5" s="285"/>
      <c r="J5" s="286"/>
      <c r="K5" s="322" t="s">
        <v>8</v>
      </c>
      <c r="L5" s="285"/>
      <c r="M5" s="285"/>
      <c r="N5" s="285"/>
      <c r="O5" s="285"/>
      <c r="P5" s="285"/>
      <c r="Q5" s="285"/>
      <c r="R5" s="286"/>
      <c r="S5" s="318" t="s">
        <v>12</v>
      </c>
      <c r="T5" s="284" t="s">
        <v>9</v>
      </c>
      <c r="U5" s="285"/>
      <c r="V5" s="285"/>
      <c r="W5" s="286"/>
      <c r="X5" s="322" t="s">
        <v>8</v>
      </c>
      <c r="Y5" s="285"/>
      <c r="Z5" s="285"/>
      <c r="AA5" s="286"/>
      <c r="AB5" s="318" t="s">
        <v>13</v>
      </c>
      <c r="AC5" s="323" t="s">
        <v>9</v>
      </c>
      <c r="AD5" s="286"/>
      <c r="AE5" s="322" t="s">
        <v>8</v>
      </c>
      <c r="AF5" s="286"/>
      <c r="AG5" s="318" t="s">
        <v>14</v>
      </c>
      <c r="AH5" s="56"/>
      <c r="AI5" s="25"/>
      <c r="AJ5" s="318" t="s">
        <v>15</v>
      </c>
      <c r="AK5" s="4"/>
    </row>
    <row r="6" spans="1:38" s="39" customFormat="1" ht="12.75" customHeight="1" x14ac:dyDescent="0.2">
      <c r="A6" s="38"/>
      <c r="B6" s="37"/>
      <c r="C6" s="169">
        <f>Résultats!$J$3</f>
        <v>0</v>
      </c>
      <c r="D6" s="239">
        <f>Résultats!$J$4</f>
        <v>4</v>
      </c>
      <c r="E6" s="235">
        <f>Résultats!$J$6</f>
        <v>4</v>
      </c>
      <c r="F6" s="109">
        <f>Résultats!$J$7</f>
        <v>3</v>
      </c>
      <c r="G6" s="172">
        <f>Résultats!$J$10</f>
        <v>3</v>
      </c>
      <c r="H6" s="109">
        <f>Résultats!$J$11</f>
        <v>3</v>
      </c>
      <c r="I6" s="235">
        <f>Résultats!$J$13</f>
        <v>4</v>
      </c>
      <c r="J6" s="108">
        <f>Résultats!$J$14</f>
        <v>0</v>
      </c>
      <c r="K6" s="110">
        <f>Résultats!$J$17</f>
        <v>1</v>
      </c>
      <c r="L6" s="239">
        <f>Résultats!$J$18</f>
        <v>4</v>
      </c>
      <c r="M6" s="172">
        <f>Résultats!$J$20</f>
        <v>2</v>
      </c>
      <c r="N6" s="245">
        <f>Résultats!$J$21</f>
        <v>4</v>
      </c>
      <c r="O6" s="172">
        <f>Résultats!$J$24</f>
        <v>2</v>
      </c>
      <c r="P6" s="245">
        <f>Résultats!$J$25</f>
        <v>4</v>
      </c>
      <c r="Q6" s="263">
        <f>Résultats!$J$27</f>
        <v>4</v>
      </c>
      <c r="R6" s="108">
        <f>Résultats!$J$28</f>
        <v>3</v>
      </c>
      <c r="S6" s="319"/>
      <c r="T6" s="169">
        <f>Résultats!$V$6</f>
        <v>0</v>
      </c>
      <c r="U6" s="108">
        <f>Résultats!$V$7</f>
        <v>0</v>
      </c>
      <c r="V6" s="172">
        <f>Résultats!$V$10</f>
        <v>0</v>
      </c>
      <c r="W6" s="108">
        <f>Résultats!$V$11</f>
        <v>0</v>
      </c>
      <c r="X6" s="110">
        <f>Résultats!$V$20</f>
        <v>0</v>
      </c>
      <c r="Y6" s="109">
        <f>Résultats!$V$21</f>
        <v>0</v>
      </c>
      <c r="Z6" s="111">
        <f>Résultats!$V$24</f>
        <v>0</v>
      </c>
      <c r="AA6" s="108">
        <f>Résultats!$V$25</f>
        <v>0</v>
      </c>
      <c r="AB6" s="319"/>
      <c r="AC6" s="111">
        <f>Résultats!$AH$8</f>
        <v>0</v>
      </c>
      <c r="AD6" s="108">
        <f>Résultats!$AH$9</f>
        <v>0</v>
      </c>
      <c r="AE6" s="110">
        <f>Résultats!$AH$22</f>
        <v>0</v>
      </c>
      <c r="AF6" s="108">
        <f>Résultats!$AH$23</f>
        <v>0</v>
      </c>
      <c r="AG6" s="319"/>
      <c r="AH6" s="212">
        <f>Résultats!$AH$15</f>
        <v>0</v>
      </c>
      <c r="AI6" s="112">
        <f>Résultats!$AH$16</f>
        <v>0</v>
      </c>
      <c r="AJ6" s="319"/>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0"/>
      <c r="E7" s="236"/>
      <c r="F7" s="118"/>
      <c r="G7" s="119"/>
      <c r="H7" s="117"/>
      <c r="I7" s="236"/>
      <c r="J7" s="117"/>
      <c r="K7" s="120"/>
      <c r="L7" s="240"/>
      <c r="M7" s="173"/>
      <c r="N7" s="246"/>
      <c r="O7" s="173"/>
      <c r="P7" s="246"/>
      <c r="Q7" s="264"/>
      <c r="R7" s="117"/>
      <c r="S7" s="319"/>
      <c r="T7" s="170"/>
      <c r="U7" s="117"/>
      <c r="V7" s="173"/>
      <c r="W7" s="117"/>
      <c r="X7" s="120"/>
      <c r="Y7" s="118"/>
      <c r="Z7" s="119"/>
      <c r="AA7" s="117"/>
      <c r="AB7" s="319"/>
      <c r="AC7" s="119"/>
      <c r="AD7" s="117"/>
      <c r="AE7" s="120"/>
      <c r="AF7" s="117"/>
      <c r="AG7" s="319"/>
      <c r="AH7" s="212"/>
      <c r="AI7" s="112"/>
      <c r="AJ7" s="319"/>
      <c r="AK7" s="37"/>
    </row>
    <row r="8" spans="1:38" s="39" customFormat="1" ht="77.25" customHeight="1" thickBot="1" x14ac:dyDescent="0.25">
      <c r="A8" s="38"/>
      <c r="B8" s="37"/>
      <c r="C8" s="171" t="str">
        <f>Résultats!$B$3</f>
        <v>TAMPA BAY</v>
      </c>
      <c r="D8" s="241" t="str">
        <f>Résultats!$B$4</f>
        <v>COLUMBUS</v>
      </c>
      <c r="E8" s="237" t="str">
        <f>Résultats!$B$6</f>
        <v>BOSTON</v>
      </c>
      <c r="F8" s="176" t="str">
        <f>Résultats!$B$7</f>
        <v>TORONTO</v>
      </c>
      <c r="G8" s="177" t="str">
        <f>Résultats!$B$10</f>
        <v>WASHINGTON</v>
      </c>
      <c r="H8" s="174" t="str">
        <f>Résultats!$B$11</f>
        <v>CAROLINE</v>
      </c>
      <c r="I8" s="237" t="str">
        <f>Résultats!$B$13</f>
        <v>NEW YORK I.</v>
      </c>
      <c r="J8" s="174" t="str">
        <f>Résultats!$B$14</f>
        <v>PITTSBURGH</v>
      </c>
      <c r="K8" s="178" t="str">
        <f>Résultats!$B$17</f>
        <v>CALGARY</v>
      </c>
      <c r="L8" s="241" t="str">
        <f>Résultats!$B$18</f>
        <v>COLORADO</v>
      </c>
      <c r="M8" s="175" t="str">
        <f>Résultats!$B$20</f>
        <v>WINNIPEG</v>
      </c>
      <c r="N8" s="247" t="str">
        <f>Résultats!$B$21</f>
        <v>ST-LOUIS</v>
      </c>
      <c r="O8" s="175" t="str">
        <f>Résultats!$B$24</f>
        <v>NASHVILLE</v>
      </c>
      <c r="P8" s="247" t="str">
        <f>Résultats!$B$25</f>
        <v>DALLAS</v>
      </c>
      <c r="Q8" s="265" t="str">
        <f>Résultats!$B$27</f>
        <v>SAN JOSE</v>
      </c>
      <c r="R8" s="174" t="str">
        <f>Résultats!$B$28</f>
        <v>VEGAS</v>
      </c>
      <c r="S8" s="319"/>
      <c r="T8" s="171" t="str">
        <f>Résultats!$N$6</f>
        <v>BOSTON</v>
      </c>
      <c r="U8" s="174" t="str">
        <f>Résultats!$N$7</f>
        <v>COLUMBUS</v>
      </c>
      <c r="V8" s="175" t="str">
        <f>Résultats!$N$10</f>
        <v xml:space="preserve"> </v>
      </c>
      <c r="W8" s="174" t="str">
        <f>Résultats!$N$11</f>
        <v xml:space="preserve"> </v>
      </c>
      <c r="X8" s="178" t="str">
        <f>Résultats!$N$20</f>
        <v>ST-LOUIS</v>
      </c>
      <c r="Y8" s="176" t="str">
        <f>Résultats!$N$21</f>
        <v>COLORADO</v>
      </c>
      <c r="Z8" s="177" t="str">
        <f>Résultats!$N$24</f>
        <v>SAN JOSE</v>
      </c>
      <c r="AA8" s="174" t="str">
        <f>Résultats!$N$25</f>
        <v>DALLAS</v>
      </c>
      <c r="AB8" s="319"/>
      <c r="AC8" s="177" t="str">
        <f>Résultats!$Z$8</f>
        <v xml:space="preserve"> </v>
      </c>
      <c r="AD8" s="174" t="str">
        <f>Résultats!$Z$9</f>
        <v xml:space="preserve"> </v>
      </c>
      <c r="AE8" s="178" t="str">
        <f>Résultats!$Z$22</f>
        <v xml:space="preserve">  </v>
      </c>
      <c r="AF8" s="174" t="str">
        <f>Résultats!$Z$23</f>
        <v xml:space="preserve"> </v>
      </c>
      <c r="AG8" s="319"/>
      <c r="AH8" s="213" t="str">
        <f>Résultats!$Z$15</f>
        <v xml:space="preserve"> </v>
      </c>
      <c r="AI8" s="214" t="str">
        <f>Résultats!$Z$16</f>
        <v xml:space="preserve"> </v>
      </c>
      <c r="AJ8" s="319"/>
      <c r="AK8" s="37"/>
    </row>
    <row r="9" spans="1:38" s="39" customFormat="1" ht="22.5" customHeight="1" thickBot="1" x14ac:dyDescent="0.25">
      <c r="A9" s="42" t="s">
        <v>7</v>
      </c>
      <c r="B9" s="40" t="s">
        <v>11</v>
      </c>
      <c r="C9" s="179" t="str">
        <f>Résultats!$A$3</f>
        <v>A1</v>
      </c>
      <c r="D9" s="242" t="str">
        <f>Résultats!$A$4</f>
        <v>WC2</v>
      </c>
      <c r="E9" s="238" t="str">
        <f>Résultats!$A$6</f>
        <v>A2</v>
      </c>
      <c r="F9" s="182" t="str">
        <f>Résultats!$A$7</f>
        <v>A3</v>
      </c>
      <c r="G9" s="183" t="str">
        <f>Résultats!$A$10</f>
        <v>M1</v>
      </c>
      <c r="H9" s="180" t="str">
        <f>Résultats!$A$11</f>
        <v>WC1</v>
      </c>
      <c r="I9" s="238" t="str">
        <f>Résultats!$A$13</f>
        <v>M2</v>
      </c>
      <c r="J9" s="180" t="str">
        <f>Résultats!$A$14</f>
        <v>M3</v>
      </c>
      <c r="K9" s="184" t="str">
        <f>Résultats!$A$17</f>
        <v>C1</v>
      </c>
      <c r="L9" s="242" t="str">
        <f>Résultats!$A$18</f>
        <v>WC2</v>
      </c>
      <c r="M9" s="181" t="str">
        <f>Résultats!$A$20</f>
        <v>C2</v>
      </c>
      <c r="N9" s="248" t="str">
        <f>Résultats!$A$21</f>
        <v>C3</v>
      </c>
      <c r="O9" s="181" t="str">
        <f>Résultats!$A$24</f>
        <v>P1</v>
      </c>
      <c r="P9" s="248" t="str">
        <f>Résultats!$A$25</f>
        <v>WC1</v>
      </c>
      <c r="Q9" s="266" t="str">
        <f>Résultats!$A$27</f>
        <v>P2</v>
      </c>
      <c r="R9" s="185" t="str">
        <f>Résultats!$A$28</f>
        <v>P3</v>
      </c>
      <c r="S9" s="321"/>
      <c r="T9" s="179" t="str">
        <f>Résultats!$M$6</f>
        <v>A2</v>
      </c>
      <c r="U9" s="180" t="str">
        <f>Résultats!$M$7</f>
        <v>WC2</v>
      </c>
      <c r="V9" s="181" t="str">
        <f>Résultats!$M$10</f>
        <v xml:space="preserve"> </v>
      </c>
      <c r="W9" s="180" t="str">
        <f>Résultats!$M$11</f>
        <v xml:space="preserve"> </v>
      </c>
      <c r="X9" s="184" t="str">
        <f>Résultats!$M$20</f>
        <v>C3</v>
      </c>
      <c r="Y9" s="182" t="str">
        <f>Résultats!$M$21</f>
        <v>WC2</v>
      </c>
      <c r="Z9" s="183" t="str">
        <f>Résultats!$M$24</f>
        <v>P2</v>
      </c>
      <c r="AA9" s="185" t="str">
        <f>Résultats!$M$25</f>
        <v>WC1</v>
      </c>
      <c r="AB9" s="320"/>
      <c r="AC9" s="183" t="str">
        <f>Résultats!$Y$8</f>
        <v xml:space="preserve"> </v>
      </c>
      <c r="AD9" s="180" t="str">
        <f>Résultats!$Y$9</f>
        <v xml:space="preserve"> </v>
      </c>
      <c r="AE9" s="184" t="str">
        <f>Résultats!$Y$22</f>
        <v xml:space="preserve"> </v>
      </c>
      <c r="AF9" s="180" t="str">
        <f>Résultats!$Y$23</f>
        <v xml:space="preserve">  </v>
      </c>
      <c r="AG9" s="320"/>
      <c r="AH9" s="215" t="str">
        <f>Résultats!$Y$15</f>
        <v xml:space="preserve"> </v>
      </c>
      <c r="AI9" s="216" t="str">
        <f>Résultats!$Y$16</f>
        <v xml:space="preserve"> </v>
      </c>
      <c r="AJ9" s="321"/>
      <c r="AK9" s="114" t="s">
        <v>51</v>
      </c>
      <c r="AL9" s="113" t="s">
        <v>3</v>
      </c>
    </row>
    <row r="10" spans="1:38" ht="12.75" customHeight="1" thickTop="1" x14ac:dyDescent="0.2">
      <c r="A10" s="186">
        <f>RANK(AL10,$AL$10:$AL$97,)</f>
        <v>1</v>
      </c>
      <c r="B10" s="211" t="s">
        <v>72</v>
      </c>
      <c r="C10" s="187">
        <v>4</v>
      </c>
      <c r="D10" s="188"/>
      <c r="E10" s="191">
        <v>5</v>
      </c>
      <c r="F10" s="188"/>
      <c r="G10" s="192">
        <v>6</v>
      </c>
      <c r="H10" s="189"/>
      <c r="I10" s="191">
        <v>7</v>
      </c>
      <c r="J10" s="189"/>
      <c r="K10" s="190">
        <v>5</v>
      </c>
      <c r="L10" s="189"/>
      <c r="M10" s="191"/>
      <c r="N10" s="188">
        <v>7</v>
      </c>
      <c r="O10" s="191">
        <v>6</v>
      </c>
      <c r="P10" s="188"/>
      <c r="Q10" s="271">
        <v>7</v>
      </c>
      <c r="R10" s="193"/>
      <c r="S10" s="194">
        <f>SUM(C11:R11)</f>
        <v>44</v>
      </c>
      <c r="T10" s="187"/>
      <c r="U10" s="189"/>
      <c r="V10" s="191"/>
      <c r="W10" s="189"/>
      <c r="X10" s="190"/>
      <c r="Y10" s="188"/>
      <c r="Z10" s="192"/>
      <c r="AA10" s="193"/>
      <c r="AB10" s="194">
        <f>SUM(T11:AA11)</f>
        <v>0</v>
      </c>
      <c r="AC10" s="192"/>
      <c r="AD10" s="189"/>
      <c r="AE10" s="190"/>
      <c r="AF10" s="189"/>
      <c r="AG10" s="194">
        <f>SUM(AC11:AF11)</f>
        <v>0</v>
      </c>
      <c r="AH10" s="195"/>
      <c r="AI10" s="196"/>
      <c r="AJ10" s="194">
        <f>AH11</f>
        <v>0</v>
      </c>
      <c r="AK10" s="197">
        <f>MAX($AL$10:$AL$97) - AL10</f>
        <v>0</v>
      </c>
      <c r="AL10" s="194">
        <f>$S10+$AB10+$AG10+$AJ10</f>
        <v>44</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9</v>
      </c>
      <c r="F11" s="134"/>
      <c r="G11" s="132">
        <f>(IF($G10&lt;&gt;"",($G$6*$O$104)+IF($G$6=4,($O$102)+IF($G10=$G$6+$H$6,$O$103,0),0),0)+IF($H10&lt;&gt;"",($H$6*$O$104)+IF($H$6=4,($O$102)+IF($H10=$G$6+$H$6,$O$103,0),0),0))</f>
        <v>3</v>
      </c>
      <c r="H11" s="134"/>
      <c r="I11" s="135">
        <f>(IF($I10&lt;&gt;"",($I$6*$O$104)+IF($I$6=4,($O$102)+IF($I10=$I$6+$J$6,$O$103,0),0),0)+IF($J10&lt;&gt;"",($J$6*$O$104)+IF($J$6=4,($O$102)+IF($J10=$I$6+$J$6,$O$103,0),0),0))</f>
        <v>9</v>
      </c>
      <c r="J11" s="136"/>
      <c r="K11" s="137">
        <f>(IF($K10&lt;&gt;"",($K$6*$O$104)+IF($K$6=4,($O$102)+IF($K10=$K$6+$L$6,$O$103,0),0),0)+IF($L10&lt;&gt;"",($L$6*$O$104)+IF($L$6=4,($O$102)+IF($L10=$K$6+$L$6,$O$103,0),0),0))</f>
        <v>1</v>
      </c>
      <c r="L11" s="134"/>
      <c r="M11" s="132">
        <f>(IF($M10&lt;&gt;"",($M$6*$O$104)+IF($M$6=4,($O$102)+IF($M10=$M$6+$N$6,$O$103,0),0),0)+IF($N10&lt;&gt;"",($N$6*$O$104)+IF($N$6=4,($O$102)+IF($N10=$M$6+$N$6,$O$103,0),0),0))</f>
        <v>9</v>
      </c>
      <c r="N11" s="134"/>
      <c r="O11" s="135">
        <f>(IF($O10&lt;&gt;"",($O$6*$O$104)+IF($O$6=4,($O$102)+IF($O10=$O$6+$P$6,$O$103,0),0),0)+IF($P10&lt;&gt;"",($P$6*$O$104)+IF($P$6=4,($O$102)+IF($P10=$O$6+$P$6,$O$103,0),0),0))</f>
        <v>2</v>
      </c>
      <c r="P11" s="134"/>
      <c r="Q11" s="132">
        <f>(IF($Q10&lt;&gt;"",($Q$6*$O$104)+IF($Q$6=4,($O$102)+IF($Q10=$Q$6+$R$6,$O$103,0),0),0)+IF($R10&lt;&gt;"",($R$6*$O$104)+IF($R$6=4,($O$102)+IF($R10=$Q$6+$R$6,$O$103,0),0),0))</f>
        <v>11</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1</v>
      </c>
      <c r="F12" s="124">
        <f>IF(ISBLANK(F10),
0,
IF(F$6 = 4, 1, 0))</f>
        <v>0</v>
      </c>
      <c r="G12" s="124">
        <f>IF(ISBLANK(G10),
0,
IF(G$6= 4, 1, 0))</f>
        <v>0</v>
      </c>
      <c r="H12" s="124">
        <f>IF(ISBLANK(H10),
0,
IF(H$6 = 4, 1, 0))</f>
        <v>0</v>
      </c>
      <c r="I12" s="124">
        <f>IF(ISBLANK(I10),
0,
IF(I$6= 4, 1, 0))</f>
        <v>1</v>
      </c>
      <c r="J12" s="124">
        <f>IF(ISBLANK(J10),
0,
IF(J$6 = 4, 1, 0))</f>
        <v>0</v>
      </c>
      <c r="K12" s="124">
        <f>IF(ISBLANK(K10),
0,
IF(K$6= 4, 1, 0))</f>
        <v>0</v>
      </c>
      <c r="L12" s="124">
        <f>IF(ISBLANK(L10),
0,
IF(L$6 = 4, 1, 0))</f>
        <v>0</v>
      </c>
      <c r="M12" s="124">
        <f>IF(ISBLANK(M10),
0,
IF(M$6= 4, 1, 0))</f>
        <v>0</v>
      </c>
      <c r="N12" s="124">
        <f>IF(ISBLANK(N10),
0,
IF(N$6 = 4, 1, 0))</f>
        <v>1</v>
      </c>
      <c r="O12" s="124">
        <f>IF(ISBLANK(O10),
0,
IF(O$6= 4, 1, 0))</f>
        <v>0</v>
      </c>
      <c r="P12" s="124">
        <f>IF(ISBLANK(P10),
0,
IF(P$6 = 4, 1, 0))</f>
        <v>0</v>
      </c>
      <c r="Q12" s="146">
        <f>IF(ISBLANK(Q10),
0,
IF(Q$6= 4, 1, 0))</f>
        <v>1</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4</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0</v>
      </c>
      <c r="O13" s="124">
        <f>IF(O12 = 0,
0,
IF(O10 = (O$6+P$6),1,0))</f>
        <v>0</v>
      </c>
      <c r="P13" s="124">
        <f>IF(P12 = 0,
0,
IF(P10 = (O$6+P$6),1,0))</f>
        <v>0</v>
      </c>
      <c r="Q13" s="146">
        <f>IF(Q12 = 0,
0,
IF(Q10 = (Q$6+R$6),1,0))</f>
        <v>1</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1</v>
      </c>
      <c r="AL13" s="130"/>
    </row>
    <row r="14" spans="1:38" ht="12.75" customHeight="1" x14ac:dyDescent="0.2">
      <c r="A14" s="122">
        <f>RANK(AL14,$AL$10:$AL$97,)</f>
        <v>2</v>
      </c>
      <c r="B14" s="88" t="s">
        <v>69</v>
      </c>
      <c r="C14" s="46">
        <v>5</v>
      </c>
      <c r="D14" s="45"/>
      <c r="E14" s="267">
        <v>7</v>
      </c>
      <c r="F14" s="45"/>
      <c r="G14" s="48">
        <v>5</v>
      </c>
      <c r="H14" s="47"/>
      <c r="I14" s="44">
        <v>6</v>
      </c>
      <c r="J14" s="47"/>
      <c r="K14" s="49">
        <v>5</v>
      </c>
      <c r="L14" s="47"/>
      <c r="M14" s="44">
        <v>6</v>
      </c>
      <c r="N14" s="45"/>
      <c r="O14" s="44">
        <v>5</v>
      </c>
      <c r="P14" s="45"/>
      <c r="Q14" s="272">
        <v>7</v>
      </c>
      <c r="R14" s="50"/>
      <c r="S14" s="129">
        <f>SUM(C15:R15)</f>
        <v>39</v>
      </c>
      <c r="T14" s="46"/>
      <c r="U14" s="47"/>
      <c r="V14" s="44"/>
      <c r="W14" s="47"/>
      <c r="X14" s="49"/>
      <c r="Y14" s="45"/>
      <c r="Z14" s="243"/>
      <c r="AA14" s="50"/>
      <c r="AB14" s="129">
        <f>SUM(T15:AA15)</f>
        <v>0</v>
      </c>
      <c r="AC14" s="48"/>
      <c r="AD14" s="47"/>
      <c r="AE14" s="49"/>
      <c r="AF14" s="47"/>
      <c r="AG14" s="129">
        <f>SUM(AC15:AF15)</f>
        <v>0</v>
      </c>
      <c r="AH14" s="78"/>
      <c r="AI14" s="58"/>
      <c r="AJ14" s="129">
        <f>AH15</f>
        <v>0</v>
      </c>
      <c r="AK14" s="116">
        <f>MAX($AL$10:$AL$97) - AL14</f>
        <v>5</v>
      </c>
      <c r="AL14" s="129">
        <f>$S14+$AB14+$AG14+$AJ14</f>
        <v>39</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11</v>
      </c>
      <c r="F15" s="150"/>
      <c r="G15" s="132">
        <f>(IF($G14&lt;&gt;"",($G$6*$O$104)+IF($G$6=4,($O$102)+IF($G14=$G$6+$H$6,$O$103,0),0),0)+IF($H14&lt;&gt;"",($H$6*$O$104)+IF($H$6=4,($O$102)+IF($H14=$G$6+$H$6,$O$103,0),0),0))</f>
        <v>3</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2</v>
      </c>
      <c r="N15" s="150"/>
      <c r="O15" s="126">
        <f>(IF($O14&lt;&gt;"",($O$6*$O$104)+IF($O$6=4,($O$102)+IF($O14=$O$6+$P$6,$O$103,0),0),0)+IF($P14&lt;&gt;"",($P$6*$O$104)+IF($P$6=4,($O$102)+IF($P14=$O$6+$P$6,$O$103,0),0),0))</f>
        <v>2</v>
      </c>
      <c r="P15" s="150"/>
      <c r="Q15" s="126">
        <f>(IF($Q14&lt;&gt;"",($Q$6*$O$104)+IF($Q$6=4,($O$102)+IF($Q14=$Q$6+$R$6,$O$103,0),0),0)+IF($R14&lt;&gt;"",($R$6*$O$104)+IF($R$6=4,($O$102)+IF($R14=$Q$6+$R$6,$O$103,0),0),0))</f>
        <v>11</v>
      </c>
      <c r="R15" s="153"/>
      <c r="S15" s="154"/>
      <c r="T15" s="155"/>
      <c r="U15" s="156"/>
      <c r="V15" s="157"/>
      <c r="W15" s="158"/>
      <c r="X15" s="159"/>
      <c r="Y15" s="149"/>
      <c r="Z15" s="157"/>
      <c r="AA15" s="160"/>
      <c r="AB15" s="154"/>
      <c r="AC15" s="161"/>
      <c r="AD15" s="158"/>
      <c r="AE15" s="159"/>
      <c r="AF15" s="161"/>
      <c r="AG15" s="154"/>
      <c r="AH15" s="155"/>
      <c r="AI15" s="160"/>
      <c r="AJ15" s="128"/>
      <c r="AK15" s="96">
        <f>MAX($AL$10:$AL$97) - AL15</f>
        <v>44</v>
      </c>
      <c r="AL15" s="128"/>
    </row>
    <row r="16" spans="1:38" s="27" customFormat="1" ht="12.75" hidden="1" customHeight="1" x14ac:dyDescent="0.2">
      <c r="A16" s="103"/>
      <c r="B16" s="131" t="s">
        <v>52</v>
      </c>
      <c r="C16" s="124">
        <f>IF(ISBLANK(C14),
0,
IF(C$6= 4, 1, 0))</f>
        <v>0</v>
      </c>
      <c r="D16" s="124">
        <f>IF(ISBLANK(D14),
0,
IF(D$6 = 4, 1, 0))</f>
        <v>0</v>
      </c>
      <c r="E16" s="146">
        <f>IF(ISBLANK(E14),
0,
IF(E$6= 4, 1, 0))</f>
        <v>1</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0</v>
      </c>
      <c r="O16" s="124">
        <f>IF(ISBLANK(O14),
0,
IF(O$6= 4, 1, 0))</f>
        <v>0</v>
      </c>
      <c r="P16" s="124">
        <f>IF(ISBLANK(P14),
0,
IF(P$6 = 4, 1, 0))</f>
        <v>0</v>
      </c>
      <c r="Q16" s="124">
        <f>IF(ISBLANK(Q14),
0,
IF(Q$6= 4, 1, 0))</f>
        <v>1</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3</v>
      </c>
      <c r="AL16" s="130"/>
    </row>
    <row r="17" spans="1:38" s="27" customFormat="1" ht="12.75" hidden="1" customHeight="1" x14ac:dyDescent="0.2">
      <c r="A17" s="103"/>
      <c r="B17" s="131" t="s">
        <v>53</v>
      </c>
      <c r="C17" s="124">
        <f>IF(C16 = 0,
0,
IF(C14 = (C$6+D$6),1,0))</f>
        <v>0</v>
      </c>
      <c r="D17" s="124">
        <f>IF(D16 = 0,
0,
IF(D14 = (C$6+D$6),1,0))</f>
        <v>0</v>
      </c>
      <c r="E17" s="146">
        <f>IF(E16 = 0,
0,
IF(E14 = (E$6+F$6),1,0))</f>
        <v>1</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1</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2</v>
      </c>
      <c r="AL17" s="130"/>
    </row>
    <row r="18" spans="1:38" ht="12.75" customHeight="1" x14ac:dyDescent="0.2">
      <c r="A18" s="186">
        <f>RANK(AL18,$AL$10:$AL$97,)</f>
        <v>3</v>
      </c>
      <c r="B18" s="211" t="s">
        <v>71</v>
      </c>
      <c r="C18" s="198">
        <v>5</v>
      </c>
      <c r="D18" s="199"/>
      <c r="E18" s="268">
        <v>7</v>
      </c>
      <c r="F18" s="199"/>
      <c r="G18" s="201">
        <v>6</v>
      </c>
      <c r="H18" s="202"/>
      <c r="I18" s="200">
        <v>6</v>
      </c>
      <c r="J18" s="202"/>
      <c r="K18" s="203">
        <v>4</v>
      </c>
      <c r="L18" s="202"/>
      <c r="M18" s="200">
        <v>5</v>
      </c>
      <c r="N18" s="199"/>
      <c r="O18" s="200"/>
      <c r="P18" s="199">
        <v>7</v>
      </c>
      <c r="Q18" s="201"/>
      <c r="R18" s="204">
        <v>7</v>
      </c>
      <c r="S18" s="244">
        <f>SUM(C19:R19)</f>
        <v>38</v>
      </c>
      <c r="T18" s="198"/>
      <c r="U18" s="202"/>
      <c r="V18" s="200"/>
      <c r="W18" s="202"/>
      <c r="X18" s="203"/>
      <c r="Y18" s="234"/>
      <c r="Z18" s="201"/>
      <c r="AA18" s="204"/>
      <c r="AB18" s="205">
        <f>SUM(T19:AA19)</f>
        <v>0</v>
      </c>
      <c r="AC18" s="201"/>
      <c r="AD18" s="259"/>
      <c r="AE18" s="203"/>
      <c r="AF18" s="202"/>
      <c r="AG18" s="205">
        <f>SUM(AC19:AF19)</f>
        <v>0</v>
      </c>
      <c r="AH18" s="233"/>
      <c r="AI18" s="206"/>
      <c r="AJ18" s="205">
        <f>AH19</f>
        <v>0</v>
      </c>
      <c r="AK18" s="207">
        <f>MAX($AL$10:$AL$97) - AL18</f>
        <v>6</v>
      </c>
      <c r="AL18" s="205">
        <f>$S18+$AB18+$AG18+$AJ18</f>
        <v>38</v>
      </c>
    </row>
    <row r="19" spans="1:38" s="27" customFormat="1" ht="12.75" hidden="1" customHeight="1" x14ac:dyDescent="0.2">
      <c r="A19" s="122" t="e">
        <f>RANK(AL19,$AL$10:$AL$97,)</f>
        <v>#N/A</v>
      </c>
      <c r="B19" s="102"/>
      <c r="C19" s="124">
        <f>(IF($C18&lt;&gt;"",($C$6*$O$104)+IF($C$6=4,($O$102)+IF($C18=$C$6+$D$6,$O$103,0),0),0)+IF($D18&lt;&gt;"",($D$6*$O$104)+IF($D$6=4,($O$102)+IF($D18=$C$6+$D$6,$O$103,0),0),0))</f>
        <v>0</v>
      </c>
      <c r="D19" s="150"/>
      <c r="E19" s="132">
        <f>(IF($E18&lt;&gt;"",($E$6*$O$104)+IF($E$6=4,($O$102)+IF($E18=$E$6+$F$6,$O$103,0),0),0)+IF($F18&lt;&gt;"",($F$6*$O$104)+IF($F$6=4,($O$102)+IF($F18=$E$6+$F$6,$O$103,0),0),0))</f>
        <v>11</v>
      </c>
      <c r="F19" s="150"/>
      <c r="G19" s="126">
        <f>(IF($G18&lt;&gt;"",($G$6*$O$104)+IF($G$6=4,($O$102)+IF($G18=$G$6+$H$6,$O$103,0),0),0)+IF($H18&lt;&gt;"",($H$6*$O$104)+IF($H$6=4,($O$102)+IF($H18=$G$6+$H$6,$O$103,0),0),0))</f>
        <v>3</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9</v>
      </c>
      <c r="P19" s="150"/>
      <c r="Q19" s="126">
        <f>(IF($Q18&lt;&gt;"",($Q$6*$O$104)+IF($Q$6=4,($O$102)+IF($Q18=$Q$6+$R$6,$O$103,0),0),0)+IF($R18&lt;&gt;"",($R$6*$O$104)+IF($R$6=4,($O$102)+IF($R18=$Q$6+$R$6,$O$103,0),0),0))</f>
        <v>3</v>
      </c>
      <c r="R19" s="153"/>
      <c r="S19" s="154"/>
      <c r="T19" s="155"/>
      <c r="U19" s="156"/>
      <c r="V19" s="157"/>
      <c r="W19" s="158"/>
      <c r="X19" s="159"/>
      <c r="Y19" s="156"/>
      <c r="Z19" s="157"/>
      <c r="AA19" s="160"/>
      <c r="AB19" s="154"/>
      <c r="AC19" s="161"/>
      <c r="AD19" s="158"/>
      <c r="AE19" s="159"/>
      <c r="AF19" s="161"/>
      <c r="AG19" s="154"/>
      <c r="AH19" s="155"/>
      <c r="AI19" s="160"/>
      <c r="AJ19" s="154"/>
      <c r="AK19" s="162">
        <f>MAX($AL$10:$AL$97) - AL19</f>
        <v>44</v>
      </c>
      <c r="AL19" s="128"/>
    </row>
    <row r="20" spans="1:38" s="27" customFormat="1" ht="12.75" hidden="1" customHeight="1" x14ac:dyDescent="0.2">
      <c r="A20" s="122"/>
      <c r="B20" s="131" t="s">
        <v>52</v>
      </c>
      <c r="C20" s="124">
        <f>IF(ISBLANK(C18),
0,
IF(C$6= 4, 1, 0))</f>
        <v>0</v>
      </c>
      <c r="D20" s="124">
        <f>IF(ISBLANK(D18),
0,
IF(D$6 = 4, 1, 0))</f>
        <v>0</v>
      </c>
      <c r="E20" s="146">
        <f>IF(ISBLANK(E18),
0,
IF(E$6= 4, 1, 0))</f>
        <v>1</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1</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3</v>
      </c>
      <c r="AL20" s="130"/>
    </row>
    <row r="21" spans="1:38" s="27" customFormat="1" ht="12.75" hidden="1" customHeight="1" x14ac:dyDescent="0.2">
      <c r="A21" s="122"/>
      <c r="B21" s="131" t="s">
        <v>53</v>
      </c>
      <c r="C21" s="124">
        <f>IF(C20 = 0,
0,
IF(C18 = (C$6+D$6),1,0))</f>
        <v>0</v>
      </c>
      <c r="D21" s="124">
        <f>IF(D20 = 0,
0,
IF(D18 = (C$6+D$6),1,0))</f>
        <v>0</v>
      </c>
      <c r="E21" s="146">
        <f>IF(E20 = 0,
0,
IF(E18 = (E$6+F$6),1,0))</f>
        <v>1</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1</v>
      </c>
      <c r="AL21" s="130"/>
    </row>
    <row r="22" spans="1:38" s="27" customFormat="1" ht="12.75" customHeight="1" x14ac:dyDescent="0.2">
      <c r="A22" s="122">
        <f>RANK(AL22,$AL$10:$AL$97,)</f>
        <v>4</v>
      </c>
      <c r="B22" s="88" t="s">
        <v>70</v>
      </c>
      <c r="C22" s="46">
        <v>5</v>
      </c>
      <c r="D22" s="45"/>
      <c r="E22" s="267">
        <v>7</v>
      </c>
      <c r="F22" s="45"/>
      <c r="G22" s="48">
        <v>4</v>
      </c>
      <c r="H22" s="47"/>
      <c r="I22" s="44"/>
      <c r="J22" s="47">
        <v>6</v>
      </c>
      <c r="K22" s="49">
        <v>5</v>
      </c>
      <c r="L22" s="47"/>
      <c r="M22" s="44"/>
      <c r="N22" s="269">
        <v>6</v>
      </c>
      <c r="O22" s="44">
        <v>7</v>
      </c>
      <c r="P22" s="45"/>
      <c r="Q22" s="48">
        <v>6</v>
      </c>
      <c r="R22" s="50"/>
      <c r="S22" s="129">
        <f>SUM(C23:R23)</f>
        <v>37</v>
      </c>
      <c r="T22" s="46"/>
      <c r="U22" s="47"/>
      <c r="V22" s="44"/>
      <c r="W22" s="47"/>
      <c r="X22" s="49"/>
      <c r="Y22" s="45"/>
      <c r="Z22" s="48"/>
      <c r="AA22" s="50"/>
      <c r="AB22" s="129">
        <f>SUM(T23:AA23)</f>
        <v>0</v>
      </c>
      <c r="AC22" s="48"/>
      <c r="AD22" s="47"/>
      <c r="AE22" s="49"/>
      <c r="AF22" s="47"/>
      <c r="AG22" s="129">
        <f>SUM(AC23:AF23)</f>
        <v>0</v>
      </c>
      <c r="AH22" s="257"/>
      <c r="AI22" s="57"/>
      <c r="AJ22" s="129">
        <f>AH23</f>
        <v>0</v>
      </c>
      <c r="AK22" s="116">
        <f>MAX($AL$10:$AL$97) - AL22</f>
        <v>7</v>
      </c>
      <c r="AL22" s="129">
        <f>$S22+$AB22+$AG22+$AJ22</f>
        <v>37</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11</v>
      </c>
      <c r="F23" s="163"/>
      <c r="G23" s="132">
        <f>(IF($G22&lt;&gt;"",($G$6*$O$104)+IF($G$6=4,($O$102)+IF($G22=$G$6+$H$6,$O$103,0),0),0)+IF($H22&lt;&gt;"",($H$6*$O$104)+IF($H$6=4,($O$102)+IF($H22=$G$6+$H$6,$O$103,0),0),0))</f>
        <v>3</v>
      </c>
      <c r="H23" s="163"/>
      <c r="I23" s="132">
        <f>(IF($I22&lt;&gt;"",($I$6*$O$104)+IF($I$6=4,($O$102)+IF($I22=$I$6+$J$6,$O$103,0),0),0)+IF($J22&lt;&gt;"",($J$6*$O$104)+IF($J$6=4,($O$102)+IF($J22=$I$6+$J$6,$O$103,0),0),0))</f>
        <v>0</v>
      </c>
      <c r="J23" s="164"/>
      <c r="K23" s="165">
        <f>(IF($K22&lt;&gt;"",($K$6*$O$104)+IF($K$6=4,($O$102)+IF($K22=$K$6+$L$6,$O$103,0),0),0)+IF($L22&lt;&gt;"",($L$6*$O$104)+IF($L$6=4,($O$102)+IF($L22=$K$6+$L$6,$O$103,0),0),0))</f>
        <v>1</v>
      </c>
      <c r="L23" s="163"/>
      <c r="M23" s="132">
        <f>(IF($M22&lt;&gt;"",($M$6*$O$104)+IF($M$6=4,($O$102)+IF($M22=$M$6+$N$6,$O$103,0),0),0)+IF($N22&lt;&gt;"",($N$6*$O$104)+IF($N$6=4,($O$102)+IF($N22=$M$6+$N$6,$O$103,0),0),0))</f>
        <v>11</v>
      </c>
      <c r="N23" s="163"/>
      <c r="O23" s="132">
        <f>(IF($O22&lt;&gt;"",($O$6*$O$104)+IF($O$6=4,($O$102)+IF($O22=$O$6+$P$6,$O$103,0),0),0)+IF($P22&lt;&gt;"",($P$6*$O$104)+IF($P$6=4,($O$102)+IF($P22=$O$6+$P$6,$O$103,0),0),0))</f>
        <v>2</v>
      </c>
      <c r="P23" s="163"/>
      <c r="Q23" s="132">
        <f>(IF($Q22&lt;&gt;"",($Q$6*$O$104)+IF($Q$6=4,($O$102)+IF($Q22=$Q$6+$R$6,$O$103,0),0),0)+IF($R22&lt;&gt;"",($R$6*$O$104)+IF($R$6=4,($O$102)+IF($R22=$Q$6+$R$6,$O$103,0),0),0))</f>
        <v>9</v>
      </c>
      <c r="R23" s="166"/>
      <c r="S23" s="154"/>
      <c r="T23" s="155"/>
      <c r="U23" s="156"/>
      <c r="V23" s="157"/>
      <c r="W23" s="158"/>
      <c r="X23" s="159"/>
      <c r="Y23" s="156"/>
      <c r="Z23" s="157"/>
      <c r="AA23" s="160"/>
      <c r="AB23" s="154"/>
      <c r="AC23" s="161"/>
      <c r="AD23" s="158"/>
      <c r="AE23" s="159"/>
      <c r="AF23" s="161"/>
      <c r="AG23" s="154"/>
      <c r="AH23" s="155"/>
      <c r="AI23" s="160"/>
      <c r="AJ23" s="154"/>
      <c r="AK23" s="162">
        <f>MAX($AL$10:$AL$97) - AL23</f>
        <v>44</v>
      </c>
      <c r="AL23" s="128"/>
    </row>
    <row r="24" spans="1:38" s="27" customFormat="1" hidden="1" x14ac:dyDescent="0.2">
      <c r="A24" s="103"/>
      <c r="B24" s="131" t="s">
        <v>52</v>
      </c>
      <c r="C24" s="124">
        <f>IF(ISBLANK(C22),
0,
IF(C$6= 4, 1, 0))</f>
        <v>0</v>
      </c>
      <c r="D24" s="124">
        <f>IF(ISBLANK(D22),
0,
IF(D$6 = 4, 1, 0))</f>
        <v>0</v>
      </c>
      <c r="E24" s="124">
        <f>IF(ISBLANK(E22),
0,
IF(E$6= 4, 1, 0))</f>
        <v>1</v>
      </c>
      <c r="F24" s="124">
        <f>IF(ISBLANK(F22),
0,
IF(F$6 = 4, 1, 0))</f>
        <v>0</v>
      </c>
      <c r="G24" s="124">
        <f>IF(ISBLANK(G22),
0,
IF(G$6= 4, 1, 0))</f>
        <v>0</v>
      </c>
      <c r="H24" s="124">
        <f>IF(ISBLANK(H22),
0,
IF(H$6 = 4, 1, 0))</f>
        <v>0</v>
      </c>
      <c r="I24" s="124">
        <f>IF(ISBLANK(I22),
0,
IF(I$6= 4, 1, 0))</f>
        <v>0</v>
      </c>
      <c r="J24" s="124">
        <f>IF(ISBLANK(J22),
0,
IF(J$6 = 4, 1, 0))</f>
        <v>0</v>
      </c>
      <c r="K24" s="124">
        <f>IF(ISBLANK(K22),
0,
IF(K$6= 4, 1, 0))</f>
        <v>0</v>
      </c>
      <c r="L24" s="124">
        <f>IF(ISBLANK(L22),
0,
IF(L$6 = 4, 1, 0))</f>
        <v>0</v>
      </c>
      <c r="M24" s="124">
        <f>IF(ISBLANK(M22),
0,
IF(M$6= 4, 1, 0))</f>
        <v>0</v>
      </c>
      <c r="N24" s="146">
        <f>IF(ISBLANK(N22),
0,
IF(N$6 = 4, 1, 0))</f>
        <v>1</v>
      </c>
      <c r="O24" s="124">
        <f>IF(ISBLANK(O22),
0,
IF(O$6= 4, 1, 0))</f>
        <v>0</v>
      </c>
      <c r="P24" s="124">
        <f>IF(ISBLANK(P22),
0,
IF(P$6 = 4, 1, 0))</f>
        <v>0</v>
      </c>
      <c r="Q24" s="124">
        <f>IF(ISBLANK(Q22),
0,
IF(Q$6= 4, 1, 0))</f>
        <v>1</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3</v>
      </c>
      <c r="AL24" s="130"/>
    </row>
    <row r="25" spans="1:38" s="27" customFormat="1" hidden="1" x14ac:dyDescent="0.2">
      <c r="A25" s="103"/>
      <c r="B25" s="131" t="s">
        <v>53</v>
      </c>
      <c r="C25" s="124">
        <f>IF(C24 = 0,
0,
IF(C22 = (C$6+D$6),1,0))</f>
        <v>0</v>
      </c>
      <c r="D25" s="124">
        <f>IF(D24 = 0,
0,
IF(D22 = (C$6+D$6),1,0))</f>
        <v>0</v>
      </c>
      <c r="E25" s="124">
        <f>IF(E24 = 0,
0,
IF(E22 = (E$6+F$6),1,0))</f>
        <v>1</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46">
        <f>IF(N24 = 0,
0,
IF(N22 = (M$6+N$6),1,0))</f>
        <v>1</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2</v>
      </c>
      <c r="AL25" s="130"/>
    </row>
    <row r="26" spans="1:38" s="27" customFormat="1" ht="12.75" customHeight="1" x14ac:dyDescent="0.2">
      <c r="A26" s="186">
        <f>RANK(AL26,$AL$10:$AL$97,)</f>
        <v>5</v>
      </c>
      <c r="B26" s="211" t="s">
        <v>77</v>
      </c>
      <c r="C26" s="198">
        <v>5</v>
      </c>
      <c r="D26" s="199"/>
      <c r="E26" s="200">
        <v>6</v>
      </c>
      <c r="F26" s="199"/>
      <c r="G26" s="201"/>
      <c r="H26" s="202">
        <v>7</v>
      </c>
      <c r="I26" s="200"/>
      <c r="J26" s="202">
        <v>6</v>
      </c>
      <c r="K26" s="203">
        <v>5</v>
      </c>
      <c r="L26" s="202"/>
      <c r="M26" s="200"/>
      <c r="N26" s="270">
        <v>6</v>
      </c>
      <c r="O26" s="200">
        <v>6</v>
      </c>
      <c r="P26" s="199"/>
      <c r="Q26" s="201">
        <v>6</v>
      </c>
      <c r="R26" s="204"/>
      <c r="S26" s="205">
        <f>SUM(C27:R27)</f>
        <v>35</v>
      </c>
      <c r="T26" s="198"/>
      <c r="U26" s="202"/>
      <c r="V26" s="200"/>
      <c r="W26" s="202"/>
      <c r="X26" s="203"/>
      <c r="Y26" s="199"/>
      <c r="Z26" s="201"/>
      <c r="AA26" s="204"/>
      <c r="AB26" s="205">
        <f>SUM(T27:AA27)</f>
        <v>0</v>
      </c>
      <c r="AC26" s="201"/>
      <c r="AD26" s="202"/>
      <c r="AE26" s="203"/>
      <c r="AF26" s="202"/>
      <c r="AG26" s="205">
        <f>SUM(AC27:AF27)</f>
        <v>0</v>
      </c>
      <c r="AH26" s="195"/>
      <c r="AI26" s="196"/>
      <c r="AJ26" s="205">
        <f>AH27</f>
        <v>0</v>
      </c>
      <c r="AK26" s="207">
        <f>MAX($AL$10:$AL$97) - AL26</f>
        <v>9</v>
      </c>
      <c r="AL26" s="205">
        <f>$S26+$AB26+$AG26+$AJ26</f>
        <v>35</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9</v>
      </c>
      <c r="F27" s="150"/>
      <c r="G27" s="126">
        <f>(IF($G26&lt;&gt;"",($G$6*$O$104)+IF($G$6=4,($O$102)+IF($G26=$G$6+$H$6,$O$103,0),0),0)+IF($H26&lt;&gt;"",($H$6*$O$104)+IF($H$6=4,($O$102)+IF($H26=$G$6+$H$6,$O$103,0),0),0))</f>
        <v>3</v>
      </c>
      <c r="H27" s="150"/>
      <c r="I27" s="126">
        <f>(IF($I26&lt;&gt;"",($I$6*$O$104)+IF($I$6=4,($O$102)+IF($I26=$I$6+$J$6,$O$103,0),0),0)+IF($J26&lt;&gt;"",($J$6*$O$104)+IF($J$6=4,($O$102)+IF($J26=$I$6+$J$6,$O$103,0),0),0))</f>
        <v>0</v>
      </c>
      <c r="J27" s="151"/>
      <c r="K27" s="152">
        <f>(IF($K26&lt;&gt;"",($K$6*$O$104)+IF($K$6=4,($O$102)+IF($K26=$K$6+$L$6,$O$103,0),0),0)+IF($L26&lt;&gt;"",($L$6*$O$104)+IF($L$6=4,($O$102)+IF($L26=$K$6+$L$6,$O$103,0),0),0))</f>
        <v>1</v>
      </c>
      <c r="L27" s="150"/>
      <c r="M27" s="126">
        <f>(IF($M26&lt;&gt;"",($M$6*$O$104)+IF($M$6=4,($O$102)+IF($M26=$M$6+$N$6,$O$103,0),0),0)+IF($N26&lt;&gt;"",($N$6*$O$104)+IF($N$6=4,($O$102)+IF($N26=$M$6+$N$6,$O$103,0),0),0))</f>
        <v>11</v>
      </c>
      <c r="N27" s="150"/>
      <c r="O27" s="126">
        <f>(IF($O26&lt;&gt;"",($O$6*$O$104)+IF($O$6=4,($O$102)+IF($O26=$O$6+$P$6,$O$103,0),0),0)+IF($P26&lt;&gt;"",($P$6*$O$104)+IF($P$6=4,($O$102)+IF($P26=$O$6+$P$6,$O$103,0),0),0))</f>
        <v>2</v>
      </c>
      <c r="P27" s="150"/>
      <c r="Q27" s="126">
        <f>(IF($Q26&lt;&gt;"",($Q$6*$O$104)+IF($Q$6=4,($O$102)+IF($Q26=$Q$6+$R$6,$O$103,0),0),0)+IF($R26&lt;&gt;"",($R$6*$O$104)+IF($R$6=4,($O$102)+IF($R26=$Q$6+$R$6,$O$103,0),0),0))</f>
        <v>9</v>
      </c>
      <c r="R27" s="153"/>
      <c r="S27" s="154"/>
      <c r="T27" s="155"/>
      <c r="U27" s="156"/>
      <c r="V27" s="157"/>
      <c r="W27" s="158"/>
      <c r="X27" s="159"/>
      <c r="Y27" s="156"/>
      <c r="Z27" s="168"/>
      <c r="AA27" s="161"/>
      <c r="AB27" s="167"/>
      <c r="AC27" s="161"/>
      <c r="AD27" s="158"/>
      <c r="AE27" s="159"/>
      <c r="AF27" s="161"/>
      <c r="AG27" s="167"/>
      <c r="AH27" s="161"/>
      <c r="AI27" s="160"/>
      <c r="AJ27" s="154"/>
      <c r="AK27" s="162">
        <f>MAX($AL$10:$AL$97) - AL27</f>
        <v>44</v>
      </c>
      <c r="AL27" s="128"/>
    </row>
    <row r="28" spans="1:38" s="27" customFormat="1" hidden="1" x14ac:dyDescent="0.2">
      <c r="A28" s="103"/>
      <c r="B28" s="131" t="s">
        <v>52</v>
      </c>
      <c r="C28" s="124">
        <f>IF(ISBLANK(C26),
0,
IF(C$6= 4, 1, 0))</f>
        <v>0</v>
      </c>
      <c r="D28" s="124">
        <f>IF(ISBLANK(D26),
0,
IF(D$6 = 4, 1, 0))</f>
        <v>0</v>
      </c>
      <c r="E28" s="124">
        <f>IF(ISBLANK(E26),
0,
IF(E$6= 4, 1, 0))</f>
        <v>1</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1</v>
      </c>
      <c r="O28" s="124">
        <f>IF(ISBLANK(O26),
0,
IF(O$6= 4, 1, 0))</f>
        <v>0</v>
      </c>
      <c r="P28" s="124">
        <f>IF(ISBLANK(P26),
0,
IF(P$6 = 4, 1, 0))</f>
        <v>0</v>
      </c>
      <c r="Q28" s="124">
        <f>IF(ISBLANK(Q26),
0,
IF(Q$6= 4, 1, 0))</f>
        <v>1</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3</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1</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1</v>
      </c>
      <c r="AL29" s="130"/>
    </row>
    <row r="30" spans="1:38" s="27" customFormat="1" ht="12.75" customHeight="1" x14ac:dyDescent="0.2">
      <c r="A30" s="122">
        <f>RANK(AL30,$AL$10:$AL$97,)</f>
        <v>5</v>
      </c>
      <c r="B30" s="88" t="s">
        <v>81</v>
      </c>
      <c r="C30" s="46">
        <v>6</v>
      </c>
      <c r="D30" s="45"/>
      <c r="E30" s="44">
        <v>5</v>
      </c>
      <c r="F30" s="45"/>
      <c r="G30" s="48">
        <v>7</v>
      </c>
      <c r="H30" s="47"/>
      <c r="I30" s="44"/>
      <c r="J30" s="47">
        <v>6</v>
      </c>
      <c r="K30" s="49">
        <v>6</v>
      </c>
      <c r="L30" s="47"/>
      <c r="M30" s="44"/>
      <c r="N30" s="45">
        <v>7</v>
      </c>
      <c r="O30" s="44">
        <v>6</v>
      </c>
      <c r="P30" s="45"/>
      <c r="Q30" s="272">
        <v>7</v>
      </c>
      <c r="R30" s="50"/>
      <c r="S30" s="129">
        <f>SUM(C31:R31)</f>
        <v>35</v>
      </c>
      <c r="T30" s="46"/>
      <c r="U30" s="47"/>
      <c r="V30" s="44"/>
      <c r="W30" s="47"/>
      <c r="X30" s="49"/>
      <c r="Y30" s="45"/>
      <c r="Z30" s="243"/>
      <c r="AA30" s="47"/>
      <c r="AB30" s="129">
        <f>SUM(T31:AA31)</f>
        <v>0</v>
      </c>
      <c r="AC30" s="48"/>
      <c r="AD30" s="47"/>
      <c r="AE30" s="49"/>
      <c r="AF30" s="47"/>
      <c r="AG30" s="129">
        <f>SUM(AC31:AF31)</f>
        <v>0</v>
      </c>
      <c r="AH30" s="107"/>
      <c r="AI30" s="57"/>
      <c r="AJ30" s="129">
        <f>AH31</f>
        <v>0</v>
      </c>
      <c r="AK30" s="116">
        <f>MAX($AL$10:$AL$97) - AL30</f>
        <v>9</v>
      </c>
      <c r="AL30" s="129">
        <f>$S30+$AB30+$AG30+$AJ30</f>
        <v>35</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9</v>
      </c>
      <c r="F31" s="80"/>
      <c r="G31" s="81">
        <f>(IF($G30&lt;&gt;"",($G$6*$O$104)+IF($G$6=4,($O$102)+IF($G30=$G$6+$H$6,$O$103,0),0),0)+IF($H30&lt;&gt;"",($H$6*$O$104)+IF($H$6=4,($O$102)+IF($H30=$G$6+$H$6,$O$103,0),0),0))</f>
        <v>3</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9</v>
      </c>
      <c r="N31" s="80"/>
      <c r="O31" s="81">
        <f>(IF($O30&lt;&gt;"",($O$6*$O$104)+IF($O$6=4,($O$102)+IF($O30=$O$6+$P$6,$O$103,0),0),0)+IF($P30&lt;&gt;"",($P$6*$O$104)+IF($P$6=4,($O$102)+IF($P30=$O$6+$P$6,$O$103,0),0),0))</f>
        <v>2</v>
      </c>
      <c r="P31" s="80"/>
      <c r="Q31" s="81">
        <f>(IF($Q30&lt;&gt;"",($Q$6*$O$104)+IF($Q$6=4,($O$102)+IF($Q30=$Q$6+$R$6,$O$103,0),0),0)+IF($R30&lt;&gt;"",($R$6*$O$104)+IF($R$6=4,($O$102)+IF($R30=$Q$6+$R$6,$O$103,0),0),0))</f>
        <v>11</v>
      </c>
      <c r="R31" s="84"/>
      <c r="S31" s="128"/>
      <c r="T31" s="59"/>
      <c r="U31" s="60"/>
      <c r="V31" s="61"/>
      <c r="W31" s="62"/>
      <c r="X31" s="63"/>
      <c r="Y31" s="60"/>
      <c r="Z31" s="123"/>
      <c r="AA31" s="89"/>
      <c r="AB31" s="128"/>
      <c r="AC31" s="89"/>
      <c r="AD31" s="62"/>
      <c r="AE31" s="63"/>
      <c r="AF31" s="89"/>
      <c r="AG31" s="128"/>
      <c r="AH31" s="89"/>
      <c r="AI31" s="64"/>
      <c r="AJ31" s="128"/>
      <c r="AK31" s="96">
        <f>MAX($AL$10:$AL$97) - AL31</f>
        <v>44</v>
      </c>
      <c r="AL31" s="128"/>
    </row>
    <row r="32" spans="1:38" s="27" customFormat="1" hidden="1" x14ac:dyDescent="0.2">
      <c r="A32" s="103"/>
      <c r="B32" s="131" t="s">
        <v>52</v>
      </c>
      <c r="C32" s="124">
        <f>IF(ISBLANK(C30),
0,
IF(C$6= 4, 1, 0))</f>
        <v>0</v>
      </c>
      <c r="D32" s="124">
        <f>IF(ISBLANK(D30),
0,
IF(D$6 = 4, 1, 0))</f>
        <v>0</v>
      </c>
      <c r="E32" s="124">
        <f>IF(ISBLANK(E30),
0,
IF(E$6= 4, 1, 0))</f>
        <v>1</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1</v>
      </c>
      <c r="O32" s="124">
        <f>IF(ISBLANK(O30),
0,
IF(O$6= 4, 1, 0))</f>
        <v>0</v>
      </c>
      <c r="P32" s="124">
        <f>IF(ISBLANK(P30),
0,
IF(P$6 = 4, 1, 0))</f>
        <v>0</v>
      </c>
      <c r="Q32" s="124">
        <f>IF(ISBLANK(Q30),
0,
IF(Q$6= 4, 1, 0))</f>
        <v>1</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3</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1</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1</v>
      </c>
      <c r="AL33" s="130"/>
    </row>
    <row r="34" spans="1:38" s="27" customFormat="1" ht="12.75" customHeight="1" x14ac:dyDescent="0.2">
      <c r="A34" s="186">
        <f>RANK(AL34,$AL$10:$AL$97,)</f>
        <v>7</v>
      </c>
      <c r="B34" s="211" t="s">
        <v>79</v>
      </c>
      <c r="C34" s="198">
        <v>6</v>
      </c>
      <c r="D34" s="199"/>
      <c r="E34" s="200"/>
      <c r="F34" s="199">
        <v>7</v>
      </c>
      <c r="G34" s="201">
        <v>6</v>
      </c>
      <c r="H34" s="202"/>
      <c r="I34" s="200"/>
      <c r="J34" s="202">
        <v>6</v>
      </c>
      <c r="K34" s="203"/>
      <c r="L34" s="202">
        <v>6</v>
      </c>
      <c r="M34" s="200"/>
      <c r="N34" s="270">
        <v>6</v>
      </c>
      <c r="O34" s="200">
        <v>5</v>
      </c>
      <c r="P34" s="199"/>
      <c r="Q34" s="201"/>
      <c r="R34" s="204">
        <v>6</v>
      </c>
      <c r="S34" s="205">
        <f>SUM(C35:R35)</f>
        <v>31</v>
      </c>
      <c r="T34" s="198"/>
      <c r="U34" s="202"/>
      <c r="V34" s="200"/>
      <c r="W34" s="202"/>
      <c r="X34" s="203"/>
      <c r="Y34" s="199"/>
      <c r="Z34" s="208"/>
      <c r="AA34" s="202"/>
      <c r="AB34" s="205">
        <f>SUM(T35:AA35)</f>
        <v>0</v>
      </c>
      <c r="AC34" s="201"/>
      <c r="AD34" s="202"/>
      <c r="AE34" s="203"/>
      <c r="AF34" s="202"/>
      <c r="AG34" s="205">
        <f>SUM(AC35:AF35)</f>
        <v>0</v>
      </c>
      <c r="AH34" s="209"/>
      <c r="AI34" s="196"/>
      <c r="AJ34" s="205">
        <f>AH35</f>
        <v>0</v>
      </c>
      <c r="AK34" s="207">
        <f>MAX($AL$10:$AL$97) - AL34</f>
        <v>13</v>
      </c>
      <c r="AL34" s="205">
        <f>$S34+$AB34+$AG34+$AJ34</f>
        <v>31</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3</v>
      </c>
      <c r="F35" s="80"/>
      <c r="G35" s="81">
        <f>(IF($G34&lt;&gt;"",($G$6*$O$104)+IF($G$6=4,($O$102)+IF($G34=$G$6+$H$6,$O$103,0),0),0)+IF($H34&lt;&gt;"",($H$6*$O$104)+IF($H$6=4,($O$102)+IF($H34=$G$6+$H$6,$O$103,0),0),0))</f>
        <v>3</v>
      </c>
      <c r="H35" s="80"/>
      <c r="I35" s="81">
        <f>(IF($I34&lt;&gt;"",($I$6*$O$104)+IF($I$6=4,($O$102)+IF($I34=$I$6+$J$6,$O$103,0),0),0)+IF($J34&lt;&gt;"",($J$6*$O$104)+IF($J$6=4,($O$102)+IF($J34=$I$6+$J$6,$O$103,0),0),0))</f>
        <v>0</v>
      </c>
      <c r="J35" s="82"/>
      <c r="K35" s="83">
        <f>(IF($K34&lt;&gt;"",($K$6*$O$104)+IF($K$6=4,($O$102)+IF($K34=$K$6+$L$6,$O$103,0),0),0)+IF($L34&lt;&gt;"",($L$6*$O$104)+IF($L$6=4,($O$102)+IF($L34=$K$6+$L$6,$O$103,0),0),0))</f>
        <v>9</v>
      </c>
      <c r="L35" s="80"/>
      <c r="M35" s="81">
        <f>(IF($M34&lt;&gt;"",($M$6*$O$104)+IF($M$6=4,($O$102)+IF($M34=$M$6+$N$6,$O$103,0),0),0)+IF($N34&lt;&gt;"",($N$6*$O$104)+IF($N$6=4,($O$102)+IF($N34=$M$6+$N$6,$O$103,0),0),0))</f>
        <v>11</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44</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1</v>
      </c>
      <c r="M36" s="124">
        <f>IF(ISBLANK(M34),
0,
IF(M$6= 4, 1, 0))</f>
        <v>0</v>
      </c>
      <c r="N36" s="124">
        <f>IF(ISBLANK(N34),
0,
IF(N$6 = 4, 1, 0))</f>
        <v>1</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2</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1</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1</v>
      </c>
      <c r="AL37" s="130"/>
    </row>
    <row r="38" spans="1:38" s="27" customFormat="1" ht="12.75" customHeight="1" x14ac:dyDescent="0.2">
      <c r="A38" s="122">
        <f>RANK(AL38,$AL$10:$AL$97,)</f>
        <v>8</v>
      </c>
      <c r="B38" s="88" t="s">
        <v>65</v>
      </c>
      <c r="C38" s="46">
        <v>4</v>
      </c>
      <c r="D38" s="45"/>
      <c r="E38" s="44">
        <v>4</v>
      </c>
      <c r="F38" s="45"/>
      <c r="G38" s="48">
        <v>6</v>
      </c>
      <c r="H38" s="47"/>
      <c r="I38" s="44">
        <v>6</v>
      </c>
      <c r="J38" s="47"/>
      <c r="K38" s="49">
        <v>7</v>
      </c>
      <c r="L38" s="47"/>
      <c r="M38" s="44">
        <v>5</v>
      </c>
      <c r="N38" s="45"/>
      <c r="O38" s="44">
        <v>4</v>
      </c>
      <c r="P38" s="45"/>
      <c r="Q38" s="48"/>
      <c r="R38" s="50">
        <v>6</v>
      </c>
      <c r="S38" s="129">
        <f>SUM(C39:R39)</f>
        <v>29</v>
      </c>
      <c r="T38" s="46"/>
      <c r="U38" s="47"/>
      <c r="V38" s="44"/>
      <c r="W38" s="47"/>
      <c r="X38" s="49"/>
      <c r="Y38" s="127"/>
      <c r="Z38" s="48"/>
      <c r="AA38" s="47"/>
      <c r="AB38" s="129">
        <f>SUM(T39:AA39)</f>
        <v>0</v>
      </c>
      <c r="AC38" s="48"/>
      <c r="AD38" s="47"/>
      <c r="AE38" s="49"/>
      <c r="AF38" s="47"/>
      <c r="AG38" s="129">
        <f>SUM(AC39:AF39)</f>
        <v>0</v>
      </c>
      <c r="AH38" s="107"/>
      <c r="AI38" s="57"/>
      <c r="AJ38" s="129">
        <f>AH39</f>
        <v>0</v>
      </c>
      <c r="AK38" s="116">
        <f>MAX($AL$10:$AL$97) - AL38</f>
        <v>15</v>
      </c>
      <c r="AL38" s="129">
        <f>$S38+$AB38+$AG38+$AJ38</f>
        <v>29</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9</v>
      </c>
      <c r="F39" s="80"/>
      <c r="G39" s="125">
        <f>(IF($G38&lt;&gt;"",($G$6*$O$104)+IF($G$6=4,($O$102)+IF($G38=$G$6+$H$6,$O$103,0),0),0)+IF($H38&lt;&gt;"",($H$6*$O$104)+IF($H$6=4,($O$102)+IF($H38=$G$6+$H$6,$O$103,0),0),0))</f>
        <v>3</v>
      </c>
      <c r="H39" s="80"/>
      <c r="I39" s="121">
        <f>(IF($I38&lt;&gt;"",($I$6*$O$104)+IF($I$6=4,($O$102)+IF($I38=$I$6+$J$6,$O$103,0),0),0)+IF($J38&lt;&gt;"",($J$6*$O$104)+IF($J$6=4,($O$102)+IF($J38=$I$6+$J$6,$O$103,0),0),0))</f>
        <v>9</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44</v>
      </c>
      <c r="AL39" s="128"/>
    </row>
    <row r="40" spans="1:38" s="27" customFormat="1" hidden="1" x14ac:dyDescent="0.2">
      <c r="A40" s="103"/>
      <c r="B40" s="131" t="s">
        <v>52</v>
      </c>
      <c r="C40" s="124">
        <f>IF(ISBLANK(C38),
0,
IF(C$6= 4, 1, 0))</f>
        <v>0</v>
      </c>
      <c r="D40" s="124">
        <f>IF(ISBLANK(D38),
0,
IF(D$6 = 4, 1, 0))</f>
        <v>0</v>
      </c>
      <c r="E40" s="124">
        <f>IF(ISBLANK(E38),
0,
IF(E$6= 4, 1, 0))</f>
        <v>1</v>
      </c>
      <c r="F40" s="124">
        <f>IF(ISBLANK(F38),
0,
IF(F$6 = 4, 1, 0))</f>
        <v>0</v>
      </c>
      <c r="G40" s="124">
        <f>IF(ISBLANK(G38),
0,
IF(G$6= 4, 1, 0))</f>
        <v>0</v>
      </c>
      <c r="H40" s="124">
        <f>IF(ISBLANK(H38),
0,
IF(H$6 = 4, 1, 0))</f>
        <v>0</v>
      </c>
      <c r="I40" s="124">
        <f>IF(ISBLANK(I38),
0,
IF(I$6= 4, 1, 0))</f>
        <v>1</v>
      </c>
      <c r="J40" s="124">
        <f>IF(ISBLANK(J38),
0,
IF(J$6 = 4, 1, 0))</f>
        <v>0</v>
      </c>
      <c r="K40" s="124">
        <f>IF(ISBLANK(K38),
0,
IF(K$6= 4, 1, 0))</f>
        <v>0</v>
      </c>
      <c r="L40" s="124">
        <f>IF(ISBLANK(L38),
0,
IF(L$6 = 4, 1, 0))</f>
        <v>0</v>
      </c>
      <c r="M40" s="124">
        <f>IF(ISBLANK(M38),
0,
IF(M$6= 4, 1, 0))</f>
        <v>0</v>
      </c>
      <c r="N40" s="124">
        <f>IF(ISBLANK(N38),
0,
IF(N$6 = 4, 1, 0))</f>
        <v>0</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2</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0</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0</v>
      </c>
      <c r="AL41" s="130"/>
    </row>
    <row r="42" spans="1:38" s="27" customFormat="1" ht="12.75" customHeight="1" x14ac:dyDescent="0.2">
      <c r="A42" s="186">
        <f>RANK(AL42,$AL$10:$AL$97,)</f>
        <v>8</v>
      </c>
      <c r="B42" s="211" t="s">
        <v>85</v>
      </c>
      <c r="C42" s="198">
        <v>5</v>
      </c>
      <c r="D42" s="199"/>
      <c r="E42" s="200">
        <v>5</v>
      </c>
      <c r="F42" s="199"/>
      <c r="G42" s="201">
        <v>5</v>
      </c>
      <c r="H42" s="202"/>
      <c r="I42" s="200"/>
      <c r="J42" s="202">
        <v>6</v>
      </c>
      <c r="K42" s="203">
        <v>5</v>
      </c>
      <c r="L42" s="202"/>
      <c r="M42" s="200"/>
      <c r="N42" s="270">
        <v>6</v>
      </c>
      <c r="O42" s="200">
        <v>5</v>
      </c>
      <c r="P42" s="199"/>
      <c r="Q42" s="201"/>
      <c r="R42" s="204">
        <v>6</v>
      </c>
      <c r="S42" s="205">
        <f>SUM(C43:R43)</f>
        <v>29</v>
      </c>
      <c r="T42" s="198"/>
      <c r="U42" s="202"/>
      <c r="V42" s="200"/>
      <c r="W42" s="202"/>
      <c r="X42" s="203"/>
      <c r="Y42" s="199"/>
      <c r="Z42" s="201"/>
      <c r="AA42" s="202"/>
      <c r="AB42" s="205">
        <f>SUM(T43:AA43)</f>
        <v>0</v>
      </c>
      <c r="AC42" s="201"/>
      <c r="AD42" s="202"/>
      <c r="AE42" s="203"/>
      <c r="AF42" s="202"/>
      <c r="AG42" s="205">
        <f>SUM(AC43:AF43)</f>
        <v>0</v>
      </c>
      <c r="AH42" s="249"/>
      <c r="AI42" s="196"/>
      <c r="AJ42" s="205">
        <f>AH43</f>
        <v>0</v>
      </c>
      <c r="AK42" s="207">
        <f>MAX($AL$10:$AL$97) - AL42</f>
        <v>15</v>
      </c>
      <c r="AL42" s="205">
        <f>$S42+$AB42+$AG42+$AJ42</f>
        <v>29</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9</v>
      </c>
      <c r="F43" s="80"/>
      <c r="G43" s="81">
        <f>(IF($G42&lt;&gt;"",($G$6*$O$104)+IF($G$6=4,($O$102)+IF($G42=$G$6+$H$6,$O$103,0),0),0)+IF($H42&lt;&gt;"",($H$6*$O$104)+IF($H$6=4,($O$102)+IF($H42=$G$6+$H$6,$O$103,0),0),0))</f>
        <v>3</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11</v>
      </c>
      <c r="N43" s="163"/>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44</v>
      </c>
      <c r="AL43" s="128"/>
    </row>
    <row r="44" spans="1:38" s="27" customFormat="1" hidden="1" x14ac:dyDescent="0.2">
      <c r="A44" s="103"/>
      <c r="B44" s="131" t="s">
        <v>52</v>
      </c>
      <c r="C44" s="124">
        <f>IF(ISBLANK(C42),
0,
IF(C$6= 4, 1, 0))</f>
        <v>0</v>
      </c>
      <c r="D44" s="124">
        <f>IF(ISBLANK(D42),
0,
IF(D$6 = 4, 1, 0))</f>
        <v>0</v>
      </c>
      <c r="E44" s="124">
        <f>IF(ISBLANK(E42),
0,
IF(E$6= 4, 1, 0))</f>
        <v>1</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46">
        <f>IF(ISBLANK(N42),
0,
IF(N$6 = 4, 1, 0))</f>
        <v>1</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2</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46">
        <f>IF(N44 = 0,
0,
IF(N42 = (M$6+N$6),1,0))</f>
        <v>1</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1</v>
      </c>
      <c r="AL45" s="130"/>
    </row>
    <row r="46" spans="1:38" s="27" customFormat="1" ht="12.75" customHeight="1" x14ac:dyDescent="0.2">
      <c r="A46" s="122">
        <f>RANK(AL46,$AL$10:$AL$97,)</f>
        <v>8</v>
      </c>
      <c r="B46" s="88" t="s">
        <v>74</v>
      </c>
      <c r="C46" s="46">
        <v>5</v>
      </c>
      <c r="D46" s="45"/>
      <c r="E46" s="44">
        <v>6</v>
      </c>
      <c r="F46" s="45"/>
      <c r="G46" s="48">
        <v>6</v>
      </c>
      <c r="H46" s="47"/>
      <c r="I46" s="44"/>
      <c r="J46" s="47">
        <v>7</v>
      </c>
      <c r="K46" s="49">
        <v>5</v>
      </c>
      <c r="L46" s="47"/>
      <c r="M46" s="44"/>
      <c r="N46" s="269">
        <v>6</v>
      </c>
      <c r="O46" s="44">
        <v>7</v>
      </c>
      <c r="P46" s="45"/>
      <c r="Q46" s="48"/>
      <c r="R46" s="50">
        <v>6</v>
      </c>
      <c r="S46" s="129">
        <f>SUM(C47:R47)</f>
        <v>29</v>
      </c>
      <c r="T46" s="46"/>
      <c r="U46" s="47"/>
      <c r="V46" s="44"/>
      <c r="W46" s="47"/>
      <c r="X46" s="49"/>
      <c r="Y46" s="45"/>
      <c r="Z46" s="48"/>
      <c r="AA46" s="47"/>
      <c r="AB46" s="129">
        <f>SUM(T47:AA47)</f>
        <v>0</v>
      </c>
      <c r="AC46" s="48"/>
      <c r="AD46" s="47"/>
      <c r="AE46" s="49"/>
      <c r="AF46" s="47"/>
      <c r="AG46" s="129">
        <f>SUM(AC47:AF47)</f>
        <v>0</v>
      </c>
      <c r="AH46" s="107"/>
      <c r="AI46" s="57"/>
      <c r="AJ46" s="129">
        <f>AH47</f>
        <v>0</v>
      </c>
      <c r="AK46" s="116">
        <f>MAX($AL$10:$AL$97) - AL46</f>
        <v>15</v>
      </c>
      <c r="AL46" s="129">
        <f>$S46+$AB46+$AG46+$AJ46</f>
        <v>29</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9</v>
      </c>
      <c r="F47" s="80"/>
      <c r="G47" s="81">
        <f>(IF($G46&lt;&gt;"",($G$6*$O$104)+IF($G$6=4,($O$102)+IF($G46=$G$6+$H$6,$O$103,0),0),0)+IF($H46&lt;&gt;"",($H$6*$O$104)+IF($H$6=4,($O$102)+IF($H46=$G$6+$H$6,$O$103,0),0),0))</f>
        <v>3</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11</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44</v>
      </c>
      <c r="AL47" s="128"/>
    </row>
    <row r="48" spans="1:38" s="27" customFormat="1" hidden="1" x14ac:dyDescent="0.2">
      <c r="A48" s="103"/>
      <c r="B48" s="131" t="s">
        <v>52</v>
      </c>
      <c r="C48" s="124">
        <f>IF(ISBLANK(C46),
0,
IF(C$6= 4, 1, 0))</f>
        <v>0</v>
      </c>
      <c r="D48" s="124">
        <f>IF(ISBLANK(D46),
0,
IF(D$6 = 4, 1, 0))</f>
        <v>0</v>
      </c>
      <c r="E48" s="124">
        <f>IF(ISBLANK(E46),
0,
IF(E$6= 4, 1, 0))</f>
        <v>1</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1</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2</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1</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1</v>
      </c>
      <c r="AL49" s="130"/>
    </row>
    <row r="50" spans="1:38" s="27" customFormat="1" ht="12.75" customHeight="1" x14ac:dyDescent="0.2">
      <c r="A50" s="186">
        <f>RANK(AL50,$AL$10:$AL$97,)</f>
        <v>11</v>
      </c>
      <c r="B50" s="211" t="s">
        <v>83</v>
      </c>
      <c r="C50" s="198">
        <v>6</v>
      </c>
      <c r="D50" s="199"/>
      <c r="E50" s="268">
        <v>7</v>
      </c>
      <c r="F50" s="199"/>
      <c r="G50" s="201">
        <v>5</v>
      </c>
      <c r="H50" s="202"/>
      <c r="I50" s="200"/>
      <c r="J50" s="202">
        <v>5</v>
      </c>
      <c r="K50" s="203">
        <v>7</v>
      </c>
      <c r="L50" s="202"/>
      <c r="M50" s="200">
        <v>6</v>
      </c>
      <c r="N50" s="199"/>
      <c r="O50" s="200">
        <v>7</v>
      </c>
      <c r="P50" s="199"/>
      <c r="Q50" s="201">
        <v>5</v>
      </c>
      <c r="R50" s="204"/>
      <c r="S50" s="205">
        <f>SUM(C51:R51)</f>
        <v>28</v>
      </c>
      <c r="T50" s="198"/>
      <c r="U50" s="202"/>
      <c r="V50" s="200"/>
      <c r="W50" s="202"/>
      <c r="X50" s="203"/>
      <c r="Y50" s="199"/>
      <c r="Z50" s="201"/>
      <c r="AA50" s="202"/>
      <c r="AB50" s="205">
        <f>SUM(T51:AA51)</f>
        <v>0</v>
      </c>
      <c r="AC50" s="201"/>
      <c r="AD50" s="202"/>
      <c r="AE50" s="203"/>
      <c r="AF50" s="202"/>
      <c r="AG50" s="205">
        <f>SUM(AC51:AF51)</f>
        <v>0</v>
      </c>
      <c r="AH50" s="209"/>
      <c r="AI50" s="196"/>
      <c r="AJ50" s="205">
        <f>AH51</f>
        <v>0</v>
      </c>
      <c r="AK50" s="207">
        <f>MAX($AL$10:$AL$97) - AL50</f>
        <v>16</v>
      </c>
      <c r="AL50" s="205">
        <f>$S50+$AB50+$AG50+$AJ50</f>
        <v>28</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11</v>
      </c>
      <c r="F51" s="134"/>
      <c r="G51" s="132">
        <f>(IF($G50&lt;&gt;"",($G$6*$O$104)+IF($G$6=4,($O$102)+IF($G50=$G$6+$H$6,$O$103,0),0),0)+IF($H50&lt;&gt;"",($H$6*$O$104)+IF($H$6=4,($O$102)+IF($H50=$G$6+$H$6,$O$103,0),0),0))</f>
        <v>3</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2</v>
      </c>
      <c r="N51" s="134"/>
      <c r="O51" s="135">
        <f>(IF($O50&lt;&gt;"",($O$6*$O$104)+IF($O$6=4,($O$102)+IF($O50=$O$6+$P$6,$O$103,0),0),0)+IF($P50&lt;&gt;"",($P$6*$O$104)+IF($P$6=4,($O$102)+IF($P50=$O$6+$P$6,$O$103,0),0),0))</f>
        <v>2</v>
      </c>
      <c r="P51" s="134"/>
      <c r="Q51" s="135">
        <f>(IF($Q50&lt;&gt;"",($Q$6*$O$104)+IF($Q$6=4,($O$102)+IF($Q50=$Q$6+$R$6,$O$103,0),0),0)+IF($R50&lt;&gt;"",($R$6*$O$104)+IF($R$6=4,($O$102)+IF($R50=$Q$6+$R$6,$O$103,0),0),0))</f>
        <v>9</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1</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0</v>
      </c>
      <c r="O52" s="124">
        <f>IF(ISBLANK(O50),
0,
IF(O$6= 4, 1, 0))</f>
        <v>0</v>
      </c>
      <c r="P52" s="124">
        <f>IF(ISBLANK(P50),
0,
IF(P$6 = 4, 1, 0))</f>
        <v>0</v>
      </c>
      <c r="Q52" s="124">
        <f>IF(ISBLANK(Q50),
0,
IF(Q$6= 4, 1, 0))</f>
        <v>1</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2</v>
      </c>
      <c r="AL52" s="130"/>
    </row>
    <row r="53" spans="1:38" s="27" customFormat="1" hidden="1" x14ac:dyDescent="0.2">
      <c r="A53" s="103"/>
      <c r="B53" s="131" t="s">
        <v>53</v>
      </c>
      <c r="C53" s="124">
        <f>IF(C52 = 0,
0,
IF(C50 = (C$6+D$6),1,0))</f>
        <v>0</v>
      </c>
      <c r="D53" s="124">
        <f>IF(D52 = 0,
0,
IF(D50 = (C$6+D$6),1,0))</f>
        <v>0</v>
      </c>
      <c r="E53" s="124">
        <f>IF(E52 = 0,
0,
IF(E50 = (E$6+F$6),1,0))</f>
        <v>1</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1</v>
      </c>
      <c r="AL53" s="130"/>
    </row>
    <row r="54" spans="1:38" s="27" customFormat="1" ht="12.6" customHeight="1" x14ac:dyDescent="0.2">
      <c r="A54" s="122">
        <f>RANK(AL54,$AL$10:$AL$97,)</f>
        <v>12</v>
      </c>
      <c r="B54" s="88" t="s">
        <v>73</v>
      </c>
      <c r="C54" s="46">
        <v>5</v>
      </c>
      <c r="D54" s="45"/>
      <c r="E54" s="44">
        <v>6</v>
      </c>
      <c r="F54" s="45"/>
      <c r="G54" s="48"/>
      <c r="H54" s="47">
        <v>7</v>
      </c>
      <c r="I54" s="44"/>
      <c r="J54" s="47">
        <v>6</v>
      </c>
      <c r="K54" s="49">
        <v>5</v>
      </c>
      <c r="L54" s="47"/>
      <c r="M54" s="44"/>
      <c r="N54" s="45">
        <v>7</v>
      </c>
      <c r="O54" s="44">
        <v>5</v>
      </c>
      <c r="P54" s="45"/>
      <c r="Q54" s="48"/>
      <c r="R54" s="50">
        <v>6</v>
      </c>
      <c r="S54" s="129">
        <f>SUM(C55:R55)</f>
        <v>27</v>
      </c>
      <c r="T54" s="46"/>
      <c r="U54" s="47"/>
      <c r="V54" s="44"/>
      <c r="W54" s="47"/>
      <c r="X54" s="49"/>
      <c r="Y54" s="45"/>
      <c r="Z54" s="243"/>
      <c r="AA54" s="47"/>
      <c r="AB54" s="129">
        <f>SUM(T55:AA55)</f>
        <v>0</v>
      </c>
      <c r="AC54" s="48"/>
      <c r="AD54" s="47"/>
      <c r="AE54" s="49"/>
      <c r="AF54" s="47"/>
      <c r="AG54" s="129">
        <f>SUM(AC55:AF55)</f>
        <v>0</v>
      </c>
      <c r="AH54" s="107"/>
      <c r="AI54" s="57"/>
      <c r="AJ54" s="129">
        <f>AH55</f>
        <v>0</v>
      </c>
      <c r="AK54" s="116">
        <f>MAX($AL$10:$AL$97) - AL54</f>
        <v>17</v>
      </c>
      <c r="AL54" s="129">
        <f>$S54+$AB54+$AG54+$AJ54</f>
        <v>27</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9</v>
      </c>
      <c r="F55" s="134"/>
      <c r="G55" s="132">
        <f>(IF($G54&lt;&gt;"",($G$6*$O$104)+IF($G$6=4,($O$102)+IF($G54=$G$6+$H$6,$O$103,0),0),0)+IF($H54&lt;&gt;"",($H$6*$O$104)+IF($H$6=4,($O$102)+IF($H54=$G$6+$H$6,$O$103,0),0),0))</f>
        <v>3</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9</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1</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1</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2</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13</v>
      </c>
      <c r="B58" s="211" t="s">
        <v>64</v>
      </c>
      <c r="C58" s="198">
        <v>7</v>
      </c>
      <c r="D58" s="199"/>
      <c r="E58" s="260">
        <v>6</v>
      </c>
      <c r="F58" s="199"/>
      <c r="G58" s="261"/>
      <c r="H58" s="202">
        <v>6</v>
      </c>
      <c r="I58" s="260"/>
      <c r="J58" s="202">
        <v>7</v>
      </c>
      <c r="K58" s="203">
        <v>5</v>
      </c>
      <c r="L58" s="202"/>
      <c r="M58" s="200">
        <v>7</v>
      </c>
      <c r="N58" s="199"/>
      <c r="O58" s="200">
        <v>6</v>
      </c>
      <c r="P58" s="199"/>
      <c r="Q58" s="201">
        <v>6</v>
      </c>
      <c r="R58" s="204"/>
      <c r="S58" s="205">
        <f>SUM(C59:R59)</f>
        <v>26</v>
      </c>
      <c r="T58" s="198"/>
      <c r="U58" s="202"/>
      <c r="V58" s="262"/>
      <c r="W58" s="202"/>
      <c r="X58" s="203"/>
      <c r="Y58" s="234"/>
      <c r="Z58" s="201"/>
      <c r="AA58" s="202"/>
      <c r="AB58" s="205">
        <f>SUM(T59:AA59)</f>
        <v>0</v>
      </c>
      <c r="AC58" s="201"/>
      <c r="AD58" s="202"/>
      <c r="AE58" s="203"/>
      <c r="AF58" s="202"/>
      <c r="AG58" s="205">
        <f>SUM(AC59:AF59)</f>
        <v>0</v>
      </c>
      <c r="AH58" s="209"/>
      <c r="AI58" s="196"/>
      <c r="AJ58" s="205">
        <f>AH59</f>
        <v>0</v>
      </c>
      <c r="AK58" s="207">
        <f>MAX($AL$10:$AL$97) - AL58</f>
        <v>18</v>
      </c>
      <c r="AL58" s="205">
        <f>$S58+$AB58+$AG58+$AJ58</f>
        <v>26</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9</v>
      </c>
      <c r="F59" s="134"/>
      <c r="G59" s="132">
        <f>(IF($G58&lt;&gt;"",($G$6*$O$104)+IF($G$6=4,($O$102)+IF($G58=$G$6+$H$6,$O$103,0),0),0)+IF($H58&lt;&gt;"",($H$6*$O$104)+IF($H$6=4,($O$102)+IF($H58=$G$6+$H$6,$O$103,0),0),0))</f>
        <v>3</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9</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1</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1</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2</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14</v>
      </c>
      <c r="B62" s="88" t="s">
        <v>76</v>
      </c>
      <c r="C62" s="46">
        <v>6</v>
      </c>
      <c r="D62" s="45"/>
      <c r="E62" s="267">
        <v>7</v>
      </c>
      <c r="F62" s="45"/>
      <c r="G62" s="48">
        <v>6</v>
      </c>
      <c r="H62" s="47"/>
      <c r="I62" s="44"/>
      <c r="J62" s="47">
        <v>7</v>
      </c>
      <c r="K62" s="49">
        <v>7</v>
      </c>
      <c r="L62" s="47"/>
      <c r="M62" s="44">
        <v>6</v>
      </c>
      <c r="N62" s="45"/>
      <c r="O62" s="44">
        <v>6</v>
      </c>
      <c r="P62" s="45"/>
      <c r="Q62" s="48"/>
      <c r="R62" s="50">
        <v>7</v>
      </c>
      <c r="S62" s="129">
        <f>SUM(C63:R63)</f>
        <v>22</v>
      </c>
      <c r="T62" s="46"/>
      <c r="U62" s="47"/>
      <c r="V62" s="44"/>
      <c r="W62" s="47"/>
      <c r="X62" s="49"/>
      <c r="Y62" s="45"/>
      <c r="Z62" s="48"/>
      <c r="AA62" s="47"/>
      <c r="AB62" s="129">
        <f>SUM(T63:AA63)</f>
        <v>0</v>
      </c>
      <c r="AC62" s="48"/>
      <c r="AD62" s="47"/>
      <c r="AE62" s="49"/>
      <c r="AF62" s="47"/>
      <c r="AG62" s="129">
        <f>SUM(AC63:AF63)</f>
        <v>0</v>
      </c>
      <c r="AH62" s="107"/>
      <c r="AI62" s="57"/>
      <c r="AJ62" s="129">
        <f>AH63</f>
        <v>0</v>
      </c>
      <c r="AK62" s="116">
        <f>MAX($AL$10:$AL$97) - AL62</f>
        <v>22</v>
      </c>
      <c r="AL62" s="129">
        <f>$S62+$AB62+$AG62+$AJ62</f>
        <v>22</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11</v>
      </c>
      <c r="F63" s="134"/>
      <c r="G63" s="132">
        <f>(IF($G62&lt;&gt;"",($G$6*$O$104)+IF($G$6=4,($O$102)+IF($G62=$G$6+$H$6,$O$103,0),0),0)+IF($H62&lt;&gt;"",($H$6*$O$104)+IF($H$6=4,($O$102)+IF($H62=$G$6+$H$6,$O$103,0),0),0))</f>
        <v>3</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1</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1</v>
      </c>
      <c r="AL64" s="130"/>
    </row>
    <row r="65" spans="1:38" s="27" customFormat="1" hidden="1" x14ac:dyDescent="0.2">
      <c r="A65" s="103"/>
      <c r="B65" s="131" t="s">
        <v>53</v>
      </c>
      <c r="C65" s="124">
        <f>IF(C64 = 0,
0,
IF(C62 = (C$6+D$6),1,0))</f>
        <v>0</v>
      </c>
      <c r="D65" s="124">
        <f>IF(D64 = 0,
0,
IF(D62 = (C$6+D$6),1,0))</f>
        <v>0</v>
      </c>
      <c r="E65" s="124">
        <f>IF(E64 = 0,
0,
IF(E62 = (E$6+F$6),1,0))</f>
        <v>1</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1</v>
      </c>
      <c r="AL65" s="130"/>
    </row>
    <row r="66" spans="1:38" s="27" customFormat="1" ht="12.75" customHeight="1" x14ac:dyDescent="0.2">
      <c r="A66" s="186">
        <f>RANK(AL66,$AL$10:$AL$97,)</f>
        <v>15</v>
      </c>
      <c r="B66" s="211" t="s">
        <v>67</v>
      </c>
      <c r="C66" s="198">
        <v>4</v>
      </c>
      <c r="D66" s="199"/>
      <c r="E66" s="200">
        <v>4</v>
      </c>
      <c r="F66" s="199"/>
      <c r="G66" s="201">
        <v>6</v>
      </c>
      <c r="H66" s="202"/>
      <c r="I66" s="200"/>
      <c r="J66" s="202">
        <v>6</v>
      </c>
      <c r="K66" s="203">
        <v>6</v>
      </c>
      <c r="L66" s="202"/>
      <c r="M66" s="200">
        <v>5</v>
      </c>
      <c r="N66" s="199"/>
      <c r="O66" s="200">
        <v>6</v>
      </c>
      <c r="P66" s="199"/>
      <c r="Q66" s="201"/>
      <c r="R66" s="204">
        <v>6</v>
      </c>
      <c r="S66" s="205">
        <f>SUM(C67:R67)</f>
        <v>20</v>
      </c>
      <c r="T66" s="198"/>
      <c r="U66" s="202"/>
      <c r="V66" s="200"/>
      <c r="W66" s="202"/>
      <c r="X66" s="203"/>
      <c r="Y66" s="199"/>
      <c r="Z66" s="208"/>
      <c r="AA66" s="202"/>
      <c r="AB66" s="205">
        <f>SUM(T67:AA67)</f>
        <v>0</v>
      </c>
      <c r="AC66" s="201"/>
      <c r="AD66" s="259"/>
      <c r="AE66" s="203"/>
      <c r="AF66" s="202"/>
      <c r="AG66" s="205">
        <f>SUM(AC67:AF67)</f>
        <v>0</v>
      </c>
      <c r="AH66" s="210"/>
      <c r="AI66" s="206"/>
      <c r="AJ66" s="205">
        <f>AH67</f>
        <v>0</v>
      </c>
      <c r="AK66" s="207">
        <f>MAX($AL$10:$AL$97) - AL66</f>
        <v>24</v>
      </c>
      <c r="AL66" s="205">
        <f>$S66+$AB66+$AG66+$AJ66</f>
        <v>20</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9</v>
      </c>
      <c r="F67" s="134"/>
      <c r="G67" s="132">
        <f>(IF($G66&lt;&gt;"",($G$6*$O$104)+IF($G$6=4,($O$102)+IF($G66=$G$6+$H$6,$O$103,0),0),0)+IF($H66&lt;&gt;"",($H$6*$O$104)+IF($H$6=4,($O$102)+IF($H66=$G$6+$H$6,$O$103,0),0),0))</f>
        <v>3</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1</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1</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15</v>
      </c>
      <c r="B70" s="88" t="s">
        <v>68</v>
      </c>
      <c r="C70" s="250">
        <v>5</v>
      </c>
      <c r="D70" s="251"/>
      <c r="E70" s="252">
        <v>6</v>
      </c>
      <c r="F70" s="251"/>
      <c r="G70" s="253">
        <v>5</v>
      </c>
      <c r="H70" s="254"/>
      <c r="I70" s="252"/>
      <c r="J70" s="254">
        <v>6</v>
      </c>
      <c r="K70" s="255">
        <v>6</v>
      </c>
      <c r="L70" s="254"/>
      <c r="M70" s="252">
        <v>7</v>
      </c>
      <c r="N70" s="251"/>
      <c r="O70" s="252">
        <v>6</v>
      </c>
      <c r="P70" s="251"/>
      <c r="Q70" s="253"/>
      <c r="R70" s="256">
        <v>6</v>
      </c>
      <c r="S70" s="129">
        <f>SUM(C71:R71)</f>
        <v>20</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24</v>
      </c>
      <c r="AL70" s="129">
        <f>$S70+$AB70+$AG70+$AJ70</f>
        <v>20</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9</v>
      </c>
      <c r="F71" s="134"/>
      <c r="G71" s="132">
        <f>(IF($G70&lt;&gt;"",($G$6*$O$104)+IF($G$6=4,($O$102)+IF($G70=$G$6+$H$6,$O$103,0),0),0)+IF($H70&lt;&gt;"",($H$6*$O$104)+IF($H$6=4,($O$102)+IF($H70=$G$6+$H$6,$O$103,0),0),0))</f>
        <v>3</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1</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1</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15</v>
      </c>
      <c r="B74" s="211" t="s">
        <v>82</v>
      </c>
      <c r="C74" s="198">
        <v>6</v>
      </c>
      <c r="D74" s="199"/>
      <c r="E74" s="200">
        <v>6</v>
      </c>
      <c r="F74" s="199"/>
      <c r="G74" s="201">
        <v>6</v>
      </c>
      <c r="H74" s="202"/>
      <c r="I74" s="200"/>
      <c r="J74" s="202">
        <v>7</v>
      </c>
      <c r="K74" s="203">
        <v>5</v>
      </c>
      <c r="L74" s="202"/>
      <c r="M74" s="200">
        <v>7</v>
      </c>
      <c r="N74" s="199"/>
      <c r="O74" s="200">
        <v>6</v>
      </c>
      <c r="P74" s="199"/>
      <c r="Q74" s="201"/>
      <c r="R74" s="204">
        <v>6</v>
      </c>
      <c r="S74" s="205">
        <f>SUM(C75:R75)</f>
        <v>20</v>
      </c>
      <c r="T74" s="198"/>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24</v>
      </c>
      <c r="AL74" s="205">
        <f>$S74+$AB74+$AG74+$AJ74</f>
        <v>20</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9</v>
      </c>
      <c r="F75" s="134"/>
      <c r="G75" s="132">
        <f>(IF($G74&lt;&gt;"",($G$6*$O$104)+IF($G$6=4,($O$102)+IF($G74=$G$6+$H$6,$O$103,0),0),0)+IF($H74&lt;&gt;"",($H$6*$O$104)+IF($H$6=4,($O$102)+IF($H74=$G$6+$H$6,$O$103,0),0),0))</f>
        <v>3</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1</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1</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15</v>
      </c>
      <c r="B78" s="88" t="s">
        <v>80</v>
      </c>
      <c r="C78" s="46">
        <v>5</v>
      </c>
      <c r="D78" s="45"/>
      <c r="E78" s="44">
        <v>6</v>
      </c>
      <c r="F78" s="45"/>
      <c r="G78" s="48">
        <v>6</v>
      </c>
      <c r="H78" s="47"/>
      <c r="I78" s="44"/>
      <c r="J78" s="47">
        <v>6</v>
      </c>
      <c r="K78" s="49">
        <v>7</v>
      </c>
      <c r="L78" s="47"/>
      <c r="M78" s="44">
        <v>6</v>
      </c>
      <c r="N78" s="45"/>
      <c r="O78" s="44">
        <v>5</v>
      </c>
      <c r="P78" s="45"/>
      <c r="Q78" s="48"/>
      <c r="R78" s="50">
        <v>6</v>
      </c>
      <c r="S78" s="129">
        <f>SUM(C79:R79)</f>
        <v>20</v>
      </c>
      <c r="T78" s="46"/>
      <c r="U78" s="47"/>
      <c r="V78" s="44"/>
      <c r="W78" s="47"/>
      <c r="X78" s="49"/>
      <c r="Y78" s="45"/>
      <c r="Z78" s="48"/>
      <c r="AA78" s="47"/>
      <c r="AB78" s="129">
        <f>SUM(T79:AA79)</f>
        <v>0</v>
      </c>
      <c r="AC78" s="48"/>
      <c r="AD78" s="47"/>
      <c r="AE78" s="49"/>
      <c r="AF78" s="47"/>
      <c r="AG78" s="129">
        <f>SUM(AC79:AF79)</f>
        <v>0</v>
      </c>
      <c r="AH78" s="105"/>
      <c r="AI78" s="58"/>
      <c r="AJ78" s="129">
        <f>AH79</f>
        <v>0</v>
      </c>
      <c r="AK78" s="116">
        <f>MAX($AL$10:$AL$97) - AL78</f>
        <v>24</v>
      </c>
      <c r="AL78" s="129">
        <f>$S78+$AB78+$AG78+$AJ78</f>
        <v>20</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9</v>
      </c>
      <c r="F79" s="134"/>
      <c r="G79" s="132">
        <f>(IF($G78&lt;&gt;"",($G$6*$O$104)+IF($G$6=4,($O$102)+IF($G78=$G$6+$H$6,$O$103,0),0),0)+IF($H78&lt;&gt;"",($H$6*$O$104)+IF($H$6=4,($O$102)+IF($H78=$G$6+$H$6,$O$103,0),0),0))</f>
        <v>3</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3</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1</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1</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15</v>
      </c>
      <c r="B82" s="211" t="s">
        <v>75</v>
      </c>
      <c r="C82" s="198">
        <v>5</v>
      </c>
      <c r="D82" s="199"/>
      <c r="E82" s="200">
        <v>6</v>
      </c>
      <c r="F82" s="199"/>
      <c r="G82" s="201">
        <v>6</v>
      </c>
      <c r="H82" s="202"/>
      <c r="I82" s="200"/>
      <c r="J82" s="202">
        <v>6</v>
      </c>
      <c r="K82" s="203">
        <v>6</v>
      </c>
      <c r="L82" s="202"/>
      <c r="M82" s="200">
        <v>7</v>
      </c>
      <c r="N82" s="199"/>
      <c r="O82" s="200">
        <v>6</v>
      </c>
      <c r="P82" s="199"/>
      <c r="Q82" s="201"/>
      <c r="R82" s="204">
        <v>7</v>
      </c>
      <c r="S82" s="205">
        <f>SUM(C83:R83)</f>
        <v>20</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24</v>
      </c>
      <c r="AL82" s="205">
        <f>$S82+$AB82+$AG82+$AJ82</f>
        <v>20</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9</v>
      </c>
      <c r="F83" s="134"/>
      <c r="G83" s="132">
        <f>(IF($G82&lt;&gt;"",($G$6*$O$104)+IF($G$6=4,($O$102)+IF($G82=$G$6+$H$6,$O$103,0),0),0)+IF($H82&lt;&gt;"",($H$6*$O$104)+IF($H$6=4,($O$102)+IF($H82=$G$6+$H$6,$O$103,0),0),0))</f>
        <v>3</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1</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1</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20</v>
      </c>
      <c r="B86" s="88" t="s">
        <v>66</v>
      </c>
      <c r="C86" s="46">
        <v>5</v>
      </c>
      <c r="D86" s="45"/>
      <c r="E86" s="44"/>
      <c r="F86" s="45">
        <v>7</v>
      </c>
      <c r="G86" s="48">
        <v>4</v>
      </c>
      <c r="H86" s="47"/>
      <c r="I86" s="44"/>
      <c r="J86" s="47">
        <v>7</v>
      </c>
      <c r="K86" s="49">
        <v>6</v>
      </c>
      <c r="L86" s="47"/>
      <c r="M86" s="44">
        <v>6</v>
      </c>
      <c r="N86" s="45"/>
      <c r="O86" s="44">
        <v>7</v>
      </c>
      <c r="P86" s="45"/>
      <c r="Q86" s="48"/>
      <c r="R86" s="50">
        <v>6</v>
      </c>
      <c r="S86" s="129">
        <f>SUM(C87:R87)</f>
        <v>14</v>
      </c>
      <c r="T86" s="46"/>
      <c r="U86" s="47"/>
      <c r="V86" s="44"/>
      <c r="W86" s="47"/>
      <c r="X86" s="49"/>
      <c r="Y86" s="127"/>
      <c r="Z86" s="48"/>
      <c r="AA86" s="47"/>
      <c r="AB86" s="129">
        <f>SUM(T87:AA87)</f>
        <v>0</v>
      </c>
      <c r="AC86" s="48"/>
      <c r="AD86" s="47"/>
      <c r="AE86" s="49"/>
      <c r="AF86" s="47"/>
      <c r="AG86" s="129">
        <f>SUM(AC87:AF87)</f>
        <v>0</v>
      </c>
      <c r="AH86" s="105"/>
      <c r="AI86" s="58"/>
      <c r="AJ86" s="129">
        <f>AH87</f>
        <v>0</v>
      </c>
      <c r="AK86" s="116">
        <f>MAX($AL$10:$AL$97) - AL86</f>
        <v>30</v>
      </c>
      <c r="AL86" s="129">
        <f>$S86+$AB86+$AG86+$AJ86</f>
        <v>14</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3</v>
      </c>
      <c r="F87" s="134"/>
      <c r="G87" s="132">
        <f>(IF($G86&lt;&gt;"",($G$6*$O$104)+IF($G$6=4,($O$102)+IF($G86=$G$6+$H$6,$O$103,0),0),0)+IF($H86&lt;&gt;"",($H$6*$O$104)+IF($H$6=4,($O$102)+IF($H86=$G$6+$H$6,$O$103,0),0),0))</f>
        <v>3</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20</v>
      </c>
      <c r="B90" s="211" t="s">
        <v>84</v>
      </c>
      <c r="C90" s="198">
        <v>6</v>
      </c>
      <c r="D90" s="199"/>
      <c r="E90" s="200"/>
      <c r="F90" s="199">
        <v>7</v>
      </c>
      <c r="G90" s="201">
        <v>7</v>
      </c>
      <c r="H90" s="202"/>
      <c r="I90" s="200"/>
      <c r="J90" s="202">
        <v>6</v>
      </c>
      <c r="K90" s="203">
        <v>6</v>
      </c>
      <c r="L90" s="202"/>
      <c r="M90" s="200">
        <v>7</v>
      </c>
      <c r="N90" s="199"/>
      <c r="O90" s="200">
        <v>5</v>
      </c>
      <c r="P90" s="199"/>
      <c r="Q90" s="201"/>
      <c r="R90" s="204">
        <v>6</v>
      </c>
      <c r="S90" s="205">
        <f>SUM(C91:R91)</f>
        <v>14</v>
      </c>
      <c r="T90" s="198"/>
      <c r="U90" s="202"/>
      <c r="V90" s="200"/>
      <c r="W90" s="202"/>
      <c r="X90" s="203"/>
      <c r="Y90" s="199"/>
      <c r="Z90" s="201"/>
      <c r="AA90" s="202"/>
      <c r="AB90" s="205">
        <f>SUM(T91:AA91)</f>
        <v>0</v>
      </c>
      <c r="AC90" s="201"/>
      <c r="AD90" s="202"/>
      <c r="AE90" s="203"/>
      <c r="AF90" s="202"/>
      <c r="AG90" s="205">
        <f>SUM(AC91:AF91)</f>
        <v>0</v>
      </c>
      <c r="AH90" s="210"/>
      <c r="AI90" s="206"/>
      <c r="AJ90" s="205">
        <f>AH91</f>
        <v>0</v>
      </c>
      <c r="AK90" s="207">
        <f>MAX($AL$10:$AL$97) - AL90</f>
        <v>30</v>
      </c>
      <c r="AL90" s="205">
        <f>$S90+$AB90+$AG90+$AJ90</f>
        <v>14</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3</v>
      </c>
      <c r="F91" s="134"/>
      <c r="G91" s="132">
        <f>(IF($G90&lt;&gt;"",($G$6*$O$104)+IF($G$6=4,($O$102)+IF($G90=$G$6+$H$6,$O$103,0),0),0)+IF($H90&lt;&gt;"",($H$6*$O$104)+IF($H$6=4,($O$102)+IF($H90=$G$6+$H$6,$O$103,0),0),0))</f>
        <v>3</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3</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20</v>
      </c>
      <c r="B94" s="88" t="s">
        <v>78</v>
      </c>
      <c r="C94" s="226">
        <v>5</v>
      </c>
      <c r="D94" s="227"/>
      <c r="E94" s="228"/>
      <c r="F94" s="227">
        <v>7</v>
      </c>
      <c r="G94" s="229">
        <v>6</v>
      </c>
      <c r="H94" s="230"/>
      <c r="I94" s="228"/>
      <c r="J94" s="230">
        <v>7</v>
      </c>
      <c r="K94" s="231">
        <v>5</v>
      </c>
      <c r="L94" s="230"/>
      <c r="M94" s="228">
        <v>6</v>
      </c>
      <c r="N94" s="227"/>
      <c r="O94" s="228">
        <v>7</v>
      </c>
      <c r="P94" s="227"/>
      <c r="Q94" s="229"/>
      <c r="R94" s="232">
        <v>7</v>
      </c>
      <c r="S94" s="129">
        <f>SUM(C95:R95)</f>
        <v>14</v>
      </c>
      <c r="T94" s="258"/>
      <c r="U94" s="47"/>
      <c r="V94" s="44"/>
      <c r="W94" s="47"/>
      <c r="X94" s="49"/>
      <c r="Y94" s="45"/>
      <c r="Z94" s="48"/>
      <c r="AA94" s="47"/>
      <c r="AB94" s="218">
        <f>SUM(T95:AA95)</f>
        <v>0</v>
      </c>
      <c r="AC94" s="48"/>
      <c r="AD94" s="47"/>
      <c r="AE94" s="49"/>
      <c r="AF94" s="47"/>
      <c r="AG94" s="218">
        <f>SUM(AC95:AF95)</f>
        <v>0</v>
      </c>
      <c r="AH94" s="105"/>
      <c r="AI94" s="58"/>
      <c r="AJ94" s="129">
        <f>AH95</f>
        <v>0</v>
      </c>
      <c r="AK94" s="116">
        <f>MAX($AL$10:$AL$97) - AL94</f>
        <v>30</v>
      </c>
      <c r="AL94" s="218">
        <f>$S94+$AB94+$AG94+$AJ94</f>
        <v>14</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3</v>
      </c>
      <c r="F95" s="134"/>
      <c r="G95" s="132">
        <f>(IF($G94&lt;&gt;"",($G$6*$O$104)+IF($G$6=4,($O$102)+IF($G94=$G$6+$H$6,$O$103,0),0),0)+IF($H94&lt;&gt;"",($H$6*$O$104)+IF($H$6=4,($O$102)+IF($H94=$G$6+$H$6,$O$103,0),0),0))</f>
        <v>3</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3</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306" t="s">
        <v>17</v>
      </c>
      <c r="P100" s="307"/>
      <c r="Q100" s="307"/>
      <c r="R100" s="308"/>
      <c r="AG100" s="30"/>
      <c r="AH100" s="30"/>
      <c r="AI100" s="30"/>
      <c r="AJ100" s="30"/>
      <c r="AK100" s="30"/>
    </row>
    <row r="101" spans="1:38" ht="13.5" thickBot="1" x14ac:dyDescent="0.25">
      <c r="A101" s="33"/>
      <c r="B101" s="294" t="s">
        <v>16</v>
      </c>
      <c r="C101" s="295"/>
      <c r="D101" s="295"/>
      <c r="E101" s="295"/>
      <c r="F101" s="295"/>
      <c r="G101" s="295"/>
      <c r="H101" s="295"/>
      <c r="I101" s="295"/>
      <c r="J101" s="295"/>
      <c r="K101" s="295"/>
      <c r="L101" s="295"/>
      <c r="M101" s="295"/>
      <c r="N101" s="296"/>
      <c r="O101" s="21">
        <v>1</v>
      </c>
      <c r="P101" s="21">
        <v>2</v>
      </c>
      <c r="Q101" s="21">
        <v>3</v>
      </c>
      <c r="R101" s="22">
        <v>4</v>
      </c>
      <c r="U101" s="309" t="s">
        <v>26</v>
      </c>
      <c r="V101" s="310"/>
      <c r="W101" s="310"/>
      <c r="X101" s="310"/>
      <c r="Y101" s="310"/>
      <c r="Z101" s="310"/>
      <c r="AA101" s="310"/>
      <c r="AB101" s="310"/>
      <c r="AC101" s="310"/>
      <c r="AD101" s="311"/>
      <c r="AE101" s="28"/>
      <c r="AF101" s="28"/>
      <c r="AG101" s="312" t="s">
        <v>24</v>
      </c>
      <c r="AH101" s="313"/>
      <c r="AI101" s="313"/>
      <c r="AJ101" s="313"/>
      <c r="AK101" s="314"/>
    </row>
    <row r="102" spans="1:38" x14ac:dyDescent="0.2">
      <c r="A102" s="34"/>
      <c r="B102" s="273" t="s">
        <v>6</v>
      </c>
      <c r="C102" s="274"/>
      <c r="D102" s="274"/>
      <c r="E102" s="274"/>
      <c r="F102" s="274"/>
      <c r="G102" s="274"/>
      <c r="H102" s="274"/>
      <c r="I102" s="274"/>
      <c r="J102" s="274"/>
      <c r="K102" s="274"/>
      <c r="L102" s="274"/>
      <c r="M102" s="274"/>
      <c r="N102" s="275"/>
      <c r="O102" s="20">
        <v>5</v>
      </c>
      <c r="P102" s="20">
        <v>10</v>
      </c>
      <c r="Q102" s="20">
        <v>15</v>
      </c>
      <c r="R102" s="23">
        <v>20</v>
      </c>
      <c r="U102" s="299" t="s">
        <v>20</v>
      </c>
      <c r="V102" s="300"/>
      <c r="W102" s="300"/>
      <c r="X102" s="300"/>
      <c r="Y102" s="300"/>
      <c r="Z102" s="300"/>
      <c r="AA102" s="300"/>
      <c r="AB102" s="297">
        <v>22</v>
      </c>
      <c r="AC102" s="297"/>
      <c r="AD102" s="298"/>
      <c r="AE102" s="29"/>
      <c r="AF102" s="29"/>
      <c r="AG102" s="280" t="s">
        <v>21</v>
      </c>
      <c r="AH102" s="281"/>
      <c r="AI102" s="281"/>
      <c r="AJ102" s="282"/>
      <c r="AK102" s="223">
        <v>230</v>
      </c>
    </row>
    <row r="103" spans="1:38" ht="13.5" thickBot="1" x14ac:dyDescent="0.25">
      <c r="A103" s="34"/>
      <c r="B103" s="273" t="s">
        <v>5</v>
      </c>
      <c r="C103" s="274"/>
      <c r="D103" s="274"/>
      <c r="E103" s="274"/>
      <c r="F103" s="274"/>
      <c r="G103" s="274"/>
      <c r="H103" s="274"/>
      <c r="I103" s="274"/>
      <c r="J103" s="274"/>
      <c r="K103" s="274"/>
      <c r="L103" s="274"/>
      <c r="M103" s="274"/>
      <c r="N103" s="275"/>
      <c r="O103" s="20">
        <v>2</v>
      </c>
      <c r="P103" s="20">
        <v>4</v>
      </c>
      <c r="Q103" s="20">
        <v>6</v>
      </c>
      <c r="R103" s="23">
        <v>8</v>
      </c>
      <c r="U103" s="278" t="s">
        <v>18</v>
      </c>
      <c r="V103" s="279"/>
      <c r="W103" s="279"/>
      <c r="X103" s="279"/>
      <c r="Y103" s="279"/>
      <c r="Z103" s="279"/>
      <c r="AA103" s="279"/>
      <c r="AB103" s="304">
        <v>20</v>
      </c>
      <c r="AC103" s="304"/>
      <c r="AD103" s="305"/>
      <c r="AE103" s="29"/>
      <c r="AF103" s="29"/>
      <c r="AG103" s="283" t="s">
        <v>22</v>
      </c>
      <c r="AH103" s="274"/>
      <c r="AI103" s="274"/>
      <c r="AJ103" s="275"/>
      <c r="AK103" s="36">
        <v>115</v>
      </c>
    </row>
    <row r="104" spans="1:38" ht="14.25" thickTop="1" thickBot="1" x14ac:dyDescent="0.25">
      <c r="A104" s="35"/>
      <c r="B104" s="287" t="s">
        <v>4</v>
      </c>
      <c r="C104" s="288"/>
      <c r="D104" s="288"/>
      <c r="E104" s="288"/>
      <c r="F104" s="288"/>
      <c r="G104" s="288"/>
      <c r="H104" s="288"/>
      <c r="I104" s="288"/>
      <c r="J104" s="288"/>
      <c r="K104" s="288"/>
      <c r="L104" s="288"/>
      <c r="M104" s="288"/>
      <c r="N104" s="289"/>
      <c r="O104" s="3">
        <v>1</v>
      </c>
      <c r="P104" s="3">
        <v>1</v>
      </c>
      <c r="Q104" s="3">
        <v>1</v>
      </c>
      <c r="R104" s="24">
        <v>1</v>
      </c>
      <c r="U104" s="301" t="s">
        <v>19</v>
      </c>
      <c r="V104" s="277"/>
      <c r="W104" s="277"/>
      <c r="X104" s="277"/>
      <c r="Y104" s="277"/>
      <c r="Z104" s="277"/>
      <c r="AA104" s="277"/>
      <c r="AB104" s="302">
        <f>AB102*AB103</f>
        <v>440</v>
      </c>
      <c r="AC104" s="302"/>
      <c r="AD104" s="303"/>
      <c r="AE104" s="29"/>
      <c r="AF104" s="29"/>
      <c r="AG104" s="283" t="s">
        <v>25</v>
      </c>
      <c r="AH104" s="274"/>
      <c r="AI104" s="274"/>
      <c r="AJ104" s="275"/>
      <c r="AK104" s="36">
        <v>65</v>
      </c>
    </row>
    <row r="105" spans="1:38" ht="13.5" thickBot="1" x14ac:dyDescent="0.25">
      <c r="AG105" s="278" t="s">
        <v>23</v>
      </c>
      <c r="AH105" s="279"/>
      <c r="AI105" s="279"/>
      <c r="AJ105" s="279"/>
      <c r="AK105" s="225">
        <v>30</v>
      </c>
    </row>
    <row r="106" spans="1:38" ht="14.25" thickTop="1" thickBot="1" x14ac:dyDescent="0.25">
      <c r="AG106" s="276" t="s">
        <v>19</v>
      </c>
      <c r="AH106" s="277"/>
      <c r="AI106" s="277"/>
      <c r="AJ106" s="277"/>
      <c r="AK106" s="224">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4" stopIfTrue="1" operator="notEqual">
      <formula>0</formula>
    </cfRule>
  </conditionalFormatting>
  <conditionalFormatting sqref="C10:R10">
    <cfRule type="cellIs" dxfId="99" priority="180" stopIfTrue="1" operator="notEqual">
      <formula>0</formula>
    </cfRule>
  </conditionalFormatting>
  <conditionalFormatting sqref="C14:R14">
    <cfRule type="cellIs" dxfId="98" priority="179" stopIfTrue="1" operator="notEqual">
      <formula>0</formula>
    </cfRule>
  </conditionalFormatting>
  <conditionalFormatting sqref="C18:R18">
    <cfRule type="cellIs" dxfId="97" priority="178" stopIfTrue="1" operator="notEqual">
      <formula>0</formula>
    </cfRule>
  </conditionalFormatting>
  <conditionalFormatting sqref="C22:R22">
    <cfRule type="cellIs" dxfId="96" priority="177" stopIfTrue="1" operator="notEqual">
      <formula>0</formula>
    </cfRule>
  </conditionalFormatting>
  <conditionalFormatting sqref="C26:R26">
    <cfRule type="cellIs" dxfId="95" priority="176" stopIfTrue="1" operator="notEqual">
      <formula>0</formula>
    </cfRule>
  </conditionalFormatting>
  <conditionalFormatting sqref="C30:R30">
    <cfRule type="cellIs" dxfId="94" priority="175" stopIfTrue="1" operator="notEqual">
      <formula>0</formula>
    </cfRule>
  </conditionalFormatting>
  <conditionalFormatting sqref="C34:R34">
    <cfRule type="cellIs" dxfId="93" priority="174" stopIfTrue="1" operator="notEqual">
      <formula>0</formula>
    </cfRule>
  </conditionalFormatting>
  <conditionalFormatting sqref="C38:R38">
    <cfRule type="cellIs" dxfId="92" priority="173" stopIfTrue="1" operator="notEqual">
      <formula>0</formula>
    </cfRule>
  </conditionalFormatting>
  <conditionalFormatting sqref="C42:R42">
    <cfRule type="cellIs" dxfId="91" priority="172" stopIfTrue="1" operator="notEqual">
      <formula>0</formula>
    </cfRule>
  </conditionalFormatting>
  <conditionalFormatting sqref="AH54:AI54 C54:R54 T54:AA54 AC54:AF54">
    <cfRule type="cellIs" dxfId="90" priority="171" stopIfTrue="1" operator="notEqual">
      <formula>0</formula>
    </cfRule>
  </conditionalFormatting>
  <conditionalFormatting sqref="AH46:AI46 C46:R46 T46:AA46 AC46:AF46">
    <cfRule type="cellIs" dxfId="89" priority="170" stopIfTrue="1" operator="notEqual">
      <formula>0</formula>
    </cfRule>
  </conditionalFormatting>
  <conditionalFormatting sqref="C46:R46">
    <cfRule type="cellIs" dxfId="88" priority="169" stopIfTrue="1" operator="notEqual">
      <formula>0</formula>
    </cfRule>
  </conditionalFormatting>
  <conditionalFormatting sqref="AH50:AI50 C50:R50 T50:AA50 AC50:AF50">
    <cfRule type="cellIs" dxfId="87" priority="168" stopIfTrue="1" operator="notEqual">
      <formula>0</formula>
    </cfRule>
  </conditionalFormatting>
  <conditionalFormatting sqref="C50:R50">
    <cfRule type="cellIs" dxfId="86" priority="167" stopIfTrue="1" operator="notEqual">
      <formula>0</formula>
    </cfRule>
  </conditionalFormatting>
  <conditionalFormatting sqref="AH58:AI58 C58:R58 T58:AA58 AC58:AF58">
    <cfRule type="cellIs" dxfId="85" priority="166" stopIfTrue="1" operator="notEqual">
      <formula>0</formula>
    </cfRule>
  </conditionalFormatting>
  <conditionalFormatting sqref="R18">
    <cfRule type="cellIs" dxfId="84" priority="165" stopIfTrue="1" operator="notEqual">
      <formula>0</formula>
    </cfRule>
  </conditionalFormatting>
  <conditionalFormatting sqref="AH70:AI70 C70:R70 T70:AA70 AC70:AF70">
    <cfRule type="cellIs" dxfId="83" priority="164" stopIfTrue="1" operator="notEqual">
      <formula>0</formula>
    </cfRule>
  </conditionalFormatting>
  <conditionalFormatting sqref="AH74:AI74 C74:R74 T74:AA74 AC74:AF74">
    <cfRule type="cellIs" dxfId="82" priority="163" stopIfTrue="1" operator="notEqual">
      <formula>0</formula>
    </cfRule>
  </conditionalFormatting>
  <conditionalFormatting sqref="AH78:AI78 C78:R78 T78:AA78 AC78:AF78">
    <cfRule type="cellIs" dxfId="81" priority="16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7" operator="notEqual">
      <formula>""""""</formula>
    </cfRule>
  </conditionalFormatting>
  <conditionalFormatting sqref="AL10:AL23 AL26:AL27 AL38:AL39 AL30:AL31 AL42:AL43 AL46:AL47 AL50 AL58 AL54 AL62 AL66 AL70 AL74 AL78 AL34:AL35">
    <cfRule type="cellIs" dxfId="79" priority="156" operator="notEqual">
      <formula>""""""</formula>
    </cfRule>
  </conditionalFormatting>
  <conditionalFormatting sqref="AJ24:AJ25">
    <cfRule type="cellIs" dxfId="78" priority="153" operator="notEqual">
      <formula>""""""</formula>
    </cfRule>
  </conditionalFormatting>
  <conditionalFormatting sqref="AL24:AL25">
    <cfRule type="cellIs" dxfId="77" priority="154" operator="notEqual">
      <formula>""""""</formula>
    </cfRule>
  </conditionalFormatting>
  <conditionalFormatting sqref="AJ20:AJ21">
    <cfRule type="cellIs" dxfId="76" priority="152" operator="notEqual">
      <formula>""""""</formula>
    </cfRule>
  </conditionalFormatting>
  <conditionalFormatting sqref="AJ16:AJ17">
    <cfRule type="cellIs" dxfId="75" priority="151" operator="notEqual">
      <formula>""""""</formula>
    </cfRule>
  </conditionalFormatting>
  <conditionalFormatting sqref="AJ28:AJ29">
    <cfRule type="cellIs" dxfId="74" priority="147" operator="notEqual">
      <formula>""""""</formula>
    </cfRule>
  </conditionalFormatting>
  <conditionalFormatting sqref="AL28:AL29">
    <cfRule type="cellIs" dxfId="73" priority="148" operator="notEqual">
      <formula>""""""</formula>
    </cfRule>
  </conditionalFormatting>
  <conditionalFormatting sqref="AL36:AL37">
    <cfRule type="cellIs" dxfId="72" priority="146" operator="notEqual">
      <formula>""""""</formula>
    </cfRule>
  </conditionalFormatting>
  <conditionalFormatting sqref="AL40:AL41">
    <cfRule type="cellIs" dxfId="71" priority="144" operator="notEqual">
      <formula>""""""</formula>
    </cfRule>
  </conditionalFormatting>
  <conditionalFormatting sqref="AL44:AL45">
    <cfRule type="cellIs" dxfId="70" priority="142" operator="notEqual">
      <formula>""""""</formula>
    </cfRule>
  </conditionalFormatting>
  <conditionalFormatting sqref="AL48:AL49">
    <cfRule type="cellIs" dxfId="69" priority="140" operator="notEqual">
      <formula>""""""</formula>
    </cfRule>
  </conditionalFormatting>
  <conditionalFormatting sqref="S20:S21 AB20:AB21 AG20:AG21">
    <cfRule type="cellIs" dxfId="68" priority="117" operator="notEqual">
      <formula>""""""</formula>
    </cfRule>
  </conditionalFormatting>
  <conditionalFormatting sqref="S24:S25 AB24:AB25 AG24:AG25">
    <cfRule type="cellIs" dxfId="67" priority="116" operator="notEqual">
      <formula>""""""</formula>
    </cfRule>
  </conditionalFormatting>
  <conditionalFormatting sqref="S16:S17 AB16:AB17 AG16:AG17">
    <cfRule type="cellIs" dxfId="66" priority="118" operator="notEqual">
      <formula>""""""</formula>
    </cfRule>
  </conditionalFormatting>
  <conditionalFormatting sqref="S28:S29 AB28:AB29 AG28:AG29">
    <cfRule type="cellIs" dxfId="65" priority="115" operator="notEqual">
      <formula>""""""</formula>
    </cfRule>
  </conditionalFormatting>
  <conditionalFormatting sqref="AJ32:AJ33">
    <cfRule type="cellIs" dxfId="64" priority="113" operator="notEqual">
      <formula>""""""</formula>
    </cfRule>
  </conditionalFormatting>
  <conditionalFormatting sqref="AL32:AL33">
    <cfRule type="cellIs" dxfId="63" priority="114" operator="notEqual">
      <formula>""""""</formula>
    </cfRule>
  </conditionalFormatting>
  <conditionalFormatting sqref="S32:S33 AB32:AB33 AG32:AG33">
    <cfRule type="cellIs" dxfId="62" priority="112" operator="notEqual">
      <formula>""""""</formula>
    </cfRule>
  </conditionalFormatting>
  <conditionalFormatting sqref="AJ36:AJ37">
    <cfRule type="cellIs" dxfId="61" priority="111" operator="notEqual">
      <formula>""""""</formula>
    </cfRule>
  </conditionalFormatting>
  <conditionalFormatting sqref="S36:S37 AB36:AB37 AG36:AG37">
    <cfRule type="cellIs" dxfId="60" priority="110" operator="notEqual">
      <formula>""""""</formula>
    </cfRule>
  </conditionalFormatting>
  <conditionalFormatting sqref="AJ40:AJ41">
    <cfRule type="cellIs" dxfId="59" priority="109" operator="notEqual">
      <formula>""""""</formula>
    </cfRule>
  </conditionalFormatting>
  <conditionalFormatting sqref="S40:S41 AB40:AB41 AG40:AG41">
    <cfRule type="cellIs" dxfId="58" priority="108" operator="notEqual">
      <formula>""""""</formula>
    </cfRule>
  </conditionalFormatting>
  <conditionalFormatting sqref="AJ44:AJ45">
    <cfRule type="cellIs" dxfId="57" priority="107" operator="notEqual">
      <formula>""""""</formula>
    </cfRule>
  </conditionalFormatting>
  <conditionalFormatting sqref="S44:S45 AB44:AB45 AG44:AG45">
    <cfRule type="cellIs" dxfId="56" priority="106" operator="notEqual">
      <formula>""""""</formula>
    </cfRule>
  </conditionalFormatting>
  <conditionalFormatting sqref="AJ48:AJ49">
    <cfRule type="cellIs" dxfId="55" priority="105" operator="notEqual">
      <formula>""""""</formula>
    </cfRule>
  </conditionalFormatting>
  <conditionalFormatting sqref="S48:S49 AB48:AB49 AG48:AG49">
    <cfRule type="cellIs" dxfId="54" priority="104" operator="notEqual">
      <formula>""""""</formula>
    </cfRule>
  </conditionalFormatting>
  <conditionalFormatting sqref="S51:S53 AB51:AB53 AG51:AG53 AJ51:AJ53">
    <cfRule type="cellIs" dxfId="53" priority="85" operator="notEqual">
      <formula>""""""</formula>
    </cfRule>
  </conditionalFormatting>
  <conditionalFormatting sqref="AL51:AL53">
    <cfRule type="cellIs" dxfId="52" priority="84" operator="notEqual">
      <formula>""""""</formula>
    </cfRule>
  </conditionalFormatting>
  <conditionalFormatting sqref="S55:S57 AB55:AB57 AG55:AG57 AJ55:AJ57">
    <cfRule type="cellIs" dxfId="51" priority="83" operator="notEqual">
      <formula>""""""</formula>
    </cfRule>
  </conditionalFormatting>
  <conditionalFormatting sqref="AL55:AL57">
    <cfRule type="cellIs" dxfId="50" priority="82" operator="notEqual">
      <formula>""""""</formula>
    </cfRule>
  </conditionalFormatting>
  <conditionalFormatting sqref="S59:S61 AB59:AB61 AG59:AG61 AJ59:AJ61">
    <cfRule type="cellIs" dxfId="49" priority="81" operator="notEqual">
      <formula>""""""</formula>
    </cfRule>
  </conditionalFormatting>
  <conditionalFormatting sqref="AL59:AL61">
    <cfRule type="cellIs" dxfId="48" priority="80" operator="notEqual">
      <formula>""""""</formula>
    </cfRule>
  </conditionalFormatting>
  <conditionalFormatting sqref="S63:S65 AB63:AB65 AG63:AG65 AJ63:AJ65">
    <cfRule type="cellIs" dxfId="47" priority="79" operator="notEqual">
      <formula>""""""</formula>
    </cfRule>
  </conditionalFormatting>
  <conditionalFormatting sqref="AL63:AL65">
    <cfRule type="cellIs" dxfId="46" priority="78" operator="notEqual">
      <formula>""""""</formula>
    </cfRule>
  </conditionalFormatting>
  <conditionalFormatting sqref="S67:S69 AB67:AB69 AG67:AG69 AJ67:AJ69">
    <cfRule type="cellIs" dxfId="45" priority="77" operator="notEqual">
      <formula>""""""</formula>
    </cfRule>
  </conditionalFormatting>
  <conditionalFormatting sqref="AL67:AL69">
    <cfRule type="cellIs" dxfId="44" priority="76" operator="notEqual">
      <formula>""""""</formula>
    </cfRule>
  </conditionalFormatting>
  <conditionalFormatting sqref="S71:S73 AB71:AB73 AG71:AG73 AJ71:AJ73">
    <cfRule type="cellIs" dxfId="43" priority="75" operator="notEqual">
      <formula>""""""</formula>
    </cfRule>
  </conditionalFormatting>
  <conditionalFormatting sqref="AL71:AL73">
    <cfRule type="cellIs" dxfId="42" priority="74" operator="notEqual">
      <formula>""""""</formula>
    </cfRule>
  </conditionalFormatting>
  <conditionalFormatting sqref="S75:S77 AB75:AB77 AG75:AG77 AJ75:AJ77">
    <cfRule type="cellIs" dxfId="41" priority="73" operator="notEqual">
      <formula>""""""</formula>
    </cfRule>
  </conditionalFormatting>
  <conditionalFormatting sqref="AL75:AL77">
    <cfRule type="cellIs" dxfId="40" priority="72" operator="notEqual">
      <formula>""""""</formula>
    </cfRule>
  </conditionalFormatting>
  <conditionalFormatting sqref="S79:S81 AB79:AB81 AG79:AG81 AJ79:AJ81">
    <cfRule type="cellIs" dxfId="39" priority="71" operator="notEqual">
      <formula>""""""</formula>
    </cfRule>
  </conditionalFormatting>
  <conditionalFormatting sqref="AL79:AL81">
    <cfRule type="cellIs" dxfId="38" priority="70" operator="notEqual">
      <formula>""""""</formula>
    </cfRule>
  </conditionalFormatting>
  <conditionalFormatting sqref="C98:D98">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9" stopIfTrue="1" operator="notEqual">
      <formula>0</formula>
    </cfRule>
  </conditionalFormatting>
  <conditionalFormatting sqref="AH90:AI90 C90:R90 T90:AA90 AC90:AF90">
    <cfRule type="cellIs" dxfId="36" priority="58" stopIfTrue="1" operator="notEqual">
      <formula>0</formula>
    </cfRule>
  </conditionalFormatting>
  <conditionalFormatting sqref="S82 AB82 AG82 AJ82 AJ90 AG90 AB90 S90">
    <cfRule type="cellIs" dxfId="35" priority="57" operator="notEqual">
      <formula>""""""</formula>
    </cfRule>
  </conditionalFormatting>
  <conditionalFormatting sqref="AL82 AL90">
    <cfRule type="cellIs" dxfId="34" priority="56" operator="notEqual">
      <formula>""""""</formula>
    </cfRule>
  </conditionalFormatting>
  <conditionalFormatting sqref="S83:S85 AB83:AB85 AG83:AG85 AJ83:AJ85">
    <cfRule type="cellIs" dxfId="33" priority="55" operator="notEqual">
      <formula>""""""</formula>
    </cfRule>
  </conditionalFormatting>
  <conditionalFormatting sqref="AL83:AL85">
    <cfRule type="cellIs" dxfId="32" priority="54" operator="notEqual">
      <formula>""""""</formula>
    </cfRule>
  </conditionalFormatting>
  <conditionalFormatting sqref="S91:S93 AB91:AB93 AG91:AG93 AJ91:AJ93">
    <cfRule type="cellIs" dxfId="31" priority="53" operator="notEqual">
      <formula>""""""</formula>
    </cfRule>
  </conditionalFormatting>
  <conditionalFormatting sqref="AL91:AL93">
    <cfRule type="cellIs" dxfId="30" priority="52" operator="notEqual">
      <formula>""""""</formula>
    </cfRule>
  </conditionalFormatting>
  <conditionalFormatting sqref="AH94:AI94 C94:R94 T94:AA94 AC94:AF94">
    <cfRule type="cellIs" dxfId="29" priority="51" stopIfTrue="1" operator="notEqual">
      <formula>0</formula>
    </cfRule>
  </conditionalFormatting>
  <conditionalFormatting sqref="S94 AB94 AG94 AJ94">
    <cfRule type="cellIs" dxfId="28" priority="49" operator="notEqual">
      <formula>""""""</formula>
    </cfRule>
  </conditionalFormatting>
  <conditionalFormatting sqref="AL94">
    <cfRule type="cellIs" dxfId="27" priority="48" operator="notEqual">
      <formula>""""""</formula>
    </cfRule>
  </conditionalFormatting>
  <conditionalFormatting sqref="S95:S97 AB95:AB97 AG95:AG97 AJ95:AJ97">
    <cfRule type="cellIs" dxfId="26" priority="47" operator="notEqual">
      <formula>""""""</formula>
    </cfRule>
  </conditionalFormatting>
  <conditionalFormatting sqref="AL95:AL97">
    <cfRule type="cellIs" dxfId="25" priority="46" operator="notEqual">
      <formula>""""""</formula>
    </cfRule>
  </conditionalFormatting>
  <conditionalFormatting sqref="AH86:AI86 C86:R86 T86:AA86 AC86:AF86">
    <cfRule type="cellIs" dxfId="24" priority="15" stopIfTrue="1" operator="notEqual">
      <formula>0</formula>
    </cfRule>
  </conditionalFormatting>
  <conditionalFormatting sqref="S86 AB86 AG86 AJ86">
    <cfRule type="cellIs" dxfId="23" priority="14" operator="notEqual">
      <formula>""""""</formula>
    </cfRule>
  </conditionalFormatting>
  <conditionalFormatting sqref="AL86">
    <cfRule type="cellIs" dxfId="22" priority="13" operator="notEqual">
      <formula>""""""</formula>
    </cfRule>
  </conditionalFormatting>
  <conditionalFormatting sqref="S87:S89 AB87:AB89 AG87:AG89 AJ87:AJ89">
    <cfRule type="cellIs" dxfId="21" priority="12" operator="notEqual">
      <formula>""""""</formula>
    </cfRule>
  </conditionalFormatting>
  <conditionalFormatting sqref="AL87:AL89">
    <cfRule type="cellIs" dxfId="20" priority="11" operator="notEqual">
      <formula>""""""</formula>
    </cfRule>
  </conditionalFormatting>
  <conditionalFormatting sqref="E98:F98">
    <cfRule type="dataBar" priority="9">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8">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7">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6">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5">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4">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3">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2">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N1" activeCellId="1" sqref="B1:B1048576 N1:N1048576"/>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v>1</v>
      </c>
      <c r="H6" s="85">
        <v>4</v>
      </c>
      <c r="I6" s="85">
        <v>5</v>
      </c>
      <c r="J6" s="77">
        <f>IF(C6&gt;C7,1,0)+IF(D6&gt;D7,1,0)+IF(E6&gt;E7,1,0)+IF(F6&gt;F7,1,0)+IF(G6&gt;G7,1,0)+IF(H6&gt;H7,1,0)+IF(I6&gt;I7,1,0)</f>
        <v>4</v>
      </c>
      <c r="K6" s="16"/>
      <c r="L6" s="13"/>
      <c r="M6" s="76" t="s">
        <v>28</v>
      </c>
      <c r="N6" s="87" t="s">
        <v>40</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v>2</v>
      </c>
      <c r="H7" s="85">
        <v>2</v>
      </c>
      <c r="I7" s="85">
        <v>1</v>
      </c>
      <c r="J7" s="77">
        <f>IF(C7&gt;C6,1,0)+IF(D7&gt;D6,1,0)+IF(E7&gt;E6,1,0)+IF(F7&gt;F6,1,0)+IF(G7&gt;G6,1,0)+IF(H7&gt;H6,1,0)+IF(I7&gt;I6,1,0)</f>
        <v>3</v>
      </c>
      <c r="K7" s="55"/>
      <c r="L7" s="4"/>
      <c r="M7" s="76" t="s">
        <v>54</v>
      </c>
      <c r="N7" s="87" t="s">
        <v>55</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v>6</v>
      </c>
      <c r="H10" s="85">
        <v>2</v>
      </c>
      <c r="I10" s="86"/>
      <c r="J10" s="77">
        <f>IF(C10&gt;C11,1,0)+IF(D10&gt;D11,1,0)+IF(E10&gt;E11,1,0)+IF(F10&gt;F11,1,0)+IF(G10&gt;G11,1,0)+IF(H10&gt;H11,1,0)+IF(I10&gt;I11,1,0)</f>
        <v>3</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v>0</v>
      </c>
      <c r="H11" s="85">
        <v>5</v>
      </c>
      <c r="I11" s="86"/>
      <c r="J11" s="77">
        <f>IF(C11&gt;C10,1,0)+IF(D11&gt;D10,1,0)+IF(E11&gt;E10,1,0)+IF(F11&gt;F10,1,0)+IF(G11&gt;G10,1,0)+IF(H11&gt;H10,1,0)+IF(I11&gt;I10,1,0)</f>
        <v>3</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v>1</v>
      </c>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v>5</v>
      </c>
      <c r="H18" s="85"/>
      <c r="I18" s="85"/>
      <c r="J18" s="77">
        <f>IF(C18&gt;C17,1,0)+IF(D18&gt;D17,1,0)+IF(E18&gt;E17,1,0)+IF(F18&gt;F17,1,0)+IF(G18&gt;G17,1,0)+IF(H18&gt;H17,1,0)+IF(I18&gt;I17,1,0)</f>
        <v>4</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v>2</v>
      </c>
      <c r="I20" s="86"/>
      <c r="J20" s="77">
        <f>IF(C20&gt;C21,1,0)+IF(D20&gt;D21,1,0)+IF(E20&gt;E21,1,0)+IF(F20&gt;F21,1,0)+IF(G20&gt;G21,1,0)+IF(H20&gt;H21,1,0)+IF(I20&gt;I21,1,0)</f>
        <v>2</v>
      </c>
      <c r="K20" s="16"/>
      <c r="L20" s="13"/>
      <c r="M20" s="76" t="s">
        <v>38</v>
      </c>
      <c r="N20" s="87" t="s">
        <v>60</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v>3</v>
      </c>
      <c r="I21" s="86"/>
      <c r="J21" s="77">
        <f>IF(C21&gt;C20,1,0)+IF(D21&gt;D20,1,0)+IF(E21&gt;E20,1,0)+IF(F21&gt;F20,1,0)+IF(G21&gt;G20,1,0)+IF(H21&gt;H20,1,0)+IF(I21&gt;I20,1,0)</f>
        <v>4</v>
      </c>
      <c r="K21" s="55"/>
      <c r="L21" s="4"/>
      <c r="M21" s="76" t="s">
        <v>54</v>
      </c>
      <c r="N21" s="87" t="s">
        <v>45</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v>3</v>
      </c>
      <c r="H24" s="85">
        <v>2</v>
      </c>
      <c r="I24" s="86"/>
      <c r="J24" s="77">
        <f>IF(C24&gt;C25,1,0)+IF(D24&gt;D25,1,0)+IF(E24&gt;E25,1,0)+IF(F24&gt;F25,1,0)+IF(G24&gt;G25,1,0)+IF(H24&gt;H25,1,0)+IF(I24&gt;I25,1,0)</f>
        <v>2</v>
      </c>
      <c r="K24" s="13"/>
      <c r="L24" s="13"/>
      <c r="M24" s="76" t="s">
        <v>34</v>
      </c>
      <c r="N24" s="87" t="s">
        <v>48</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v>5</v>
      </c>
      <c r="H25" s="85">
        <v>4</v>
      </c>
      <c r="I25" s="86"/>
      <c r="J25" s="77">
        <f>IF(C25&gt;C24,1,0)+IF(D25&gt;D24,1,0)+IF(E25&gt;E24,1,0)+IF(F25&gt;F24,1,0)+IF(G25&gt;G24,1,0)+IF(H25&gt;H24,1,0)+IF(I25&gt;I24,1,0)</f>
        <v>4</v>
      </c>
      <c r="K25" s="14"/>
      <c r="L25" s="4"/>
      <c r="M25" s="76" t="s">
        <v>56</v>
      </c>
      <c r="N25" s="87" t="s">
        <v>61</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v>2</v>
      </c>
      <c r="I27" s="85">
        <v>5</v>
      </c>
      <c r="J27" s="77">
        <f>IF(C27&gt;C28,1,0)+IF(D27&gt;D28,1,0)+IF(E27&gt;E28,1,0)+IF(F27&gt;F28,1,0)+IF(G27&gt;G28,1,0)+IF(H27&gt;H28,1,0)+IF(I27&gt;I28,1,0)</f>
        <v>4</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v>1</v>
      </c>
      <c r="I28" s="85">
        <v>4</v>
      </c>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2019-04-24T12:02:08Z</dcterms:modified>
</cp:coreProperties>
</file>