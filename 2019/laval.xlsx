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_git\staker4\pool\"/>
    </mc:Choice>
  </mc:AlternateContent>
  <bookViews>
    <workbookView xWindow="0" yWindow="0" windowWidth="18870" windowHeight="7575"/>
  </bookViews>
  <sheets>
    <sheet name="Pool" sheetId="16" r:id="rId1"/>
    <sheet name="Résultats" sheetId="7" r:id="rId2"/>
  </sheets>
  <definedNames>
    <definedName name="_xlnm._FilterDatabase" localSheetId="0" hidden="1">Pool!$B$11:$AL$67</definedName>
    <definedName name="PT_PREDICTION_EQUIPE_R1">Pool!$O$103</definedName>
    <definedName name="PT_PREDICTION_EQUIPE_R2">Pool!$P$103</definedName>
    <definedName name="PT_PREDICTION_EQUIPE_R3">Pool!$Q$103</definedName>
    <definedName name="PT_PREDICTION_EQUIPE_R4">Pool!$R$103</definedName>
    <definedName name="PT_PREDICTION_NB_PARTIES_R1">Pool!$O$104</definedName>
    <definedName name="PT_PREDICTION_NB_PARTIES_R2">Pool!$P$104</definedName>
    <definedName name="PT_PREDICTION_NB_PARTIES_R3">Pool!$Q$104</definedName>
    <definedName name="PT_PREDICTION_NB_PARTIES_R4">Pool!$R$104</definedName>
    <definedName name="PT_VICTOIRE_R1">Pool!$O$105</definedName>
    <definedName name="PT_VICTOIRE_R2">Pool!$P$105</definedName>
    <definedName name="PT_VICTOIRE_R3">Pool!$Q$105</definedName>
    <definedName name="PT_VICTOIRE_R4">Pool!$R$105</definedName>
  </definedNames>
  <calcPr calcId="162913"/>
</workbook>
</file>

<file path=xl/calcChain.xml><?xml version="1.0" encoding="utf-8"?>
<calcChain xmlns="http://schemas.openxmlformats.org/spreadsheetml/2006/main">
  <c r="AI99" i="16" l="1"/>
  <c r="AH99" i="16"/>
  <c r="AF99" i="16" l="1"/>
  <c r="AE99" i="16"/>
  <c r="AD99" i="16"/>
  <c r="AC99" i="16"/>
  <c r="AH97" i="16" l="1"/>
  <c r="AH98" i="16" s="1"/>
  <c r="AH93" i="16"/>
  <c r="AH94" i="16" s="1"/>
  <c r="AH89" i="16"/>
  <c r="AH90" i="16" s="1"/>
  <c r="AH85" i="16"/>
  <c r="AH86" i="16" s="1"/>
  <c r="AI81" i="16"/>
  <c r="AI82" i="16" s="1"/>
  <c r="AH77" i="16"/>
  <c r="AH78" i="16" s="1"/>
  <c r="AH73" i="16"/>
  <c r="AH74" i="16" s="1"/>
  <c r="AH69" i="16"/>
  <c r="AH70" i="16" s="1"/>
  <c r="AH65" i="16"/>
  <c r="AH66" i="16" s="1"/>
  <c r="AI61" i="16"/>
  <c r="AI62" i="16" s="1"/>
  <c r="AI57" i="16"/>
  <c r="AI58" i="16" s="1"/>
  <c r="AH53" i="16"/>
  <c r="AH54" i="16" s="1"/>
  <c r="AI49" i="16"/>
  <c r="AI50" i="16" s="1"/>
  <c r="AI45" i="16"/>
  <c r="AI46" i="16" s="1"/>
  <c r="AH41" i="16"/>
  <c r="AH42" i="16" s="1"/>
  <c r="AI37" i="16"/>
  <c r="AI38" i="16" s="1"/>
  <c r="AH33" i="16"/>
  <c r="AH34" i="16" s="1"/>
  <c r="AI29" i="16"/>
  <c r="AI30" i="16" s="1"/>
  <c r="AH25" i="16"/>
  <c r="AH26" i="16" s="1"/>
  <c r="AH21" i="16"/>
  <c r="AH22" i="16" s="1"/>
  <c r="AI17" i="16"/>
  <c r="AI18" i="16" s="1"/>
  <c r="AI13" i="16"/>
  <c r="AI14" i="16" s="1"/>
  <c r="AC97" i="16"/>
  <c r="AC98" i="16" s="1"/>
  <c r="AE93" i="16"/>
  <c r="AE94" i="16" s="1"/>
  <c r="AC93" i="16"/>
  <c r="AC94" i="16" s="1"/>
  <c r="AD77" i="16"/>
  <c r="AD78" i="16" s="1"/>
  <c r="AF61" i="16"/>
  <c r="AF62" i="16" s="1"/>
  <c r="AD61" i="16"/>
  <c r="AD62" i="16" s="1"/>
  <c r="AC57" i="16"/>
  <c r="AC58" i="16" s="1"/>
  <c r="AF53" i="16"/>
  <c r="AF54" i="16" s="1"/>
  <c r="AF49" i="16"/>
  <c r="AF50" i="16" s="1"/>
  <c r="AF45" i="16"/>
  <c r="AF46" i="16" s="1"/>
  <c r="AD45" i="16"/>
  <c r="AD46" i="16" s="1"/>
  <c r="AF41" i="16"/>
  <c r="AF42" i="16" s="1"/>
  <c r="AD37" i="16"/>
  <c r="AD38" i="16" s="1"/>
  <c r="AE33" i="16"/>
  <c r="AE34" i="16" s="1"/>
  <c r="AD33" i="16"/>
  <c r="AD34" i="16" s="1"/>
  <c r="AD29" i="16"/>
  <c r="AD30" i="16" s="1"/>
  <c r="AC25" i="16"/>
  <c r="AC26" i="16" s="1"/>
  <c r="AD21" i="16"/>
  <c r="AD22" i="16" s="1"/>
  <c r="AE17" i="16"/>
  <c r="AE18" i="16" s="1"/>
  <c r="AD17" i="16"/>
  <c r="AD18" i="16" s="1"/>
  <c r="AD9" i="16"/>
  <c r="AE13" i="16"/>
  <c r="AE14" i="16" s="1"/>
  <c r="AC13" i="16"/>
  <c r="AC14" i="16" s="1"/>
  <c r="E7" i="16" l="1"/>
  <c r="F7" i="16"/>
  <c r="E9" i="16"/>
  <c r="AA97" i="16" l="1"/>
  <c r="AA98" i="16" s="1"/>
  <c r="W97" i="16"/>
  <c r="W98" i="16" s="1"/>
  <c r="T97" i="16"/>
  <c r="T98" i="16" s="1"/>
  <c r="AA93" i="16"/>
  <c r="AA94" i="16" s="1"/>
  <c r="W93" i="16"/>
  <c r="W94" i="16" s="1"/>
  <c r="T93" i="16"/>
  <c r="T94" i="16" s="1"/>
  <c r="AA89" i="16"/>
  <c r="AA90" i="16" s="1"/>
  <c r="W89" i="16"/>
  <c r="W90" i="16" s="1"/>
  <c r="T89" i="16"/>
  <c r="T90" i="16" s="1"/>
  <c r="W85" i="16"/>
  <c r="W86" i="16" s="1"/>
  <c r="T73" i="16"/>
  <c r="T74" i="16" s="1"/>
  <c r="AA69" i="16"/>
  <c r="AA70" i="16" s="1"/>
  <c r="Y65" i="16"/>
  <c r="Y66" i="16" s="1"/>
  <c r="T65" i="16"/>
  <c r="T66" i="16" s="1"/>
  <c r="AA61" i="16"/>
  <c r="AA62" i="16" s="1"/>
  <c r="W61" i="16"/>
  <c r="W62" i="16" s="1"/>
  <c r="W57" i="16"/>
  <c r="W58" i="16" s="1"/>
  <c r="T57" i="16"/>
  <c r="T58" i="16" s="1"/>
  <c r="AA49" i="16"/>
  <c r="AA50" i="16" s="1"/>
  <c r="W45" i="16"/>
  <c r="W46" i="16" s="1"/>
  <c r="AA41" i="16"/>
  <c r="AA42" i="16" s="1"/>
  <c r="T41" i="16"/>
  <c r="T42" i="16" s="1"/>
  <c r="AA37" i="16"/>
  <c r="AA38" i="16" s="1"/>
  <c r="T37" i="16"/>
  <c r="T38" i="16" s="1"/>
  <c r="T33" i="16"/>
  <c r="T34" i="16" s="1"/>
  <c r="AA21" i="16"/>
  <c r="AA22" i="16" s="1"/>
  <c r="T17" i="16"/>
  <c r="T18" i="16" s="1"/>
  <c r="E12" i="16"/>
  <c r="AA99" i="16" l="1"/>
  <c r="Z99" i="16"/>
  <c r="Y99" i="16"/>
  <c r="X99" i="16"/>
  <c r="W99" i="16"/>
  <c r="V99" i="16"/>
  <c r="U99" i="16"/>
  <c r="T99" i="16"/>
  <c r="R99" i="16"/>
  <c r="Q99" i="16"/>
  <c r="P99" i="16"/>
  <c r="O99" i="16"/>
  <c r="N99" i="16"/>
  <c r="M99" i="16"/>
  <c r="L99" i="16"/>
  <c r="K99" i="16"/>
  <c r="J99" i="16"/>
  <c r="I99" i="16"/>
  <c r="H99" i="16"/>
  <c r="G99" i="16"/>
  <c r="F99" i="16"/>
  <c r="E99" i="16"/>
  <c r="C99" i="16" l="1"/>
  <c r="D99" i="16"/>
  <c r="AK107" i="16" l="1"/>
  <c r="P89" i="16"/>
  <c r="P90" i="16" s="1"/>
  <c r="L89" i="16"/>
  <c r="L90" i="16" s="1"/>
  <c r="I89" i="16"/>
  <c r="I90" i="16" s="1"/>
  <c r="H89" i="16"/>
  <c r="H90" i="16" s="1"/>
  <c r="F89" i="16"/>
  <c r="F90" i="16" s="1"/>
  <c r="D89" i="16"/>
  <c r="D90" i="16" s="1"/>
  <c r="P97" i="16" l="1"/>
  <c r="P98" i="16" s="1"/>
  <c r="L97" i="16"/>
  <c r="L98" i="16" s="1"/>
  <c r="I97" i="16"/>
  <c r="I98" i="16" s="1"/>
  <c r="F97" i="16"/>
  <c r="F98" i="16" s="1"/>
  <c r="D97" i="16"/>
  <c r="D98" i="16" s="1"/>
  <c r="P93" i="16"/>
  <c r="P94" i="16" s="1"/>
  <c r="L93" i="16"/>
  <c r="L94" i="16" s="1"/>
  <c r="I93" i="16"/>
  <c r="I94" i="16" s="1"/>
  <c r="F93" i="16"/>
  <c r="F94" i="16" s="1"/>
  <c r="D93" i="16"/>
  <c r="D94" i="16" s="1"/>
  <c r="P85" i="16"/>
  <c r="P86" i="16" s="1"/>
  <c r="L85" i="16"/>
  <c r="L86" i="16" s="1"/>
  <c r="I85" i="16"/>
  <c r="I86" i="16" s="1"/>
  <c r="F85" i="16"/>
  <c r="F86" i="16" s="1"/>
  <c r="D85" i="16"/>
  <c r="D86" i="16" s="1"/>
  <c r="P81" i="16" l="1"/>
  <c r="P82" i="16" s="1"/>
  <c r="I81" i="16"/>
  <c r="I82" i="16" s="1"/>
  <c r="H81" i="16"/>
  <c r="H82" i="16" s="1"/>
  <c r="D81" i="16"/>
  <c r="D82" i="16" s="1"/>
  <c r="Q77" i="16"/>
  <c r="Q78" i="16" s="1"/>
  <c r="P77" i="16"/>
  <c r="P78" i="16" s="1"/>
  <c r="L77" i="16"/>
  <c r="L78" i="16" s="1"/>
  <c r="I77" i="16"/>
  <c r="I78" i="16" s="1"/>
  <c r="D77" i="16"/>
  <c r="D78" i="16" s="1"/>
  <c r="P73" i="16"/>
  <c r="P74" i="16" s="1"/>
  <c r="L73" i="16"/>
  <c r="L74" i="16" s="1"/>
  <c r="I73" i="16"/>
  <c r="I74" i="16" s="1"/>
  <c r="H73" i="16"/>
  <c r="H74" i="16" s="1"/>
  <c r="D73" i="16"/>
  <c r="D74" i="16" s="1"/>
  <c r="P69" i="16"/>
  <c r="P70" i="16" s="1"/>
  <c r="L69" i="16"/>
  <c r="L70" i="16" s="1"/>
  <c r="I69" i="16"/>
  <c r="I70" i="16" s="1"/>
  <c r="H69" i="16"/>
  <c r="H70" i="16" s="1"/>
  <c r="D69" i="16"/>
  <c r="D70" i="16" s="1"/>
  <c r="P65" i="16"/>
  <c r="P66" i="16" s="1"/>
  <c r="L65" i="16"/>
  <c r="L66" i="16" s="1"/>
  <c r="I65" i="16"/>
  <c r="I66" i="16" s="1"/>
  <c r="D65" i="16"/>
  <c r="D66" i="16" s="1"/>
  <c r="P61" i="16"/>
  <c r="P62" i="16" s="1"/>
  <c r="L61" i="16"/>
  <c r="L62" i="16" s="1"/>
  <c r="D61" i="16"/>
  <c r="D62" i="16" s="1"/>
  <c r="P57" i="16"/>
  <c r="P58" i="16" s="1"/>
  <c r="D57" i="16"/>
  <c r="D58" i="16" s="1"/>
  <c r="P53" i="16"/>
  <c r="P54" i="16" s="1"/>
  <c r="L53" i="16"/>
  <c r="L54" i="16" s="1"/>
  <c r="I53" i="16"/>
  <c r="I54" i="16" s="1"/>
  <c r="D53" i="16"/>
  <c r="D54" i="16" s="1"/>
  <c r="D49" i="16" l="1"/>
  <c r="D50" i="16" s="1"/>
  <c r="D45" i="16"/>
  <c r="D46" i="16" s="1"/>
  <c r="L41" i="16"/>
  <c r="L42" i="16" s="1"/>
  <c r="D41" i="16"/>
  <c r="D42" i="16" s="1"/>
  <c r="D37" i="16"/>
  <c r="D38" i="16" s="1"/>
  <c r="D33" i="16"/>
  <c r="D34" i="16" s="1"/>
  <c r="P29" i="16"/>
  <c r="P30" i="16" s="1"/>
  <c r="D29" i="16"/>
  <c r="D30" i="16" s="1"/>
  <c r="L25" i="16"/>
  <c r="L26" i="16" s="1"/>
  <c r="D25" i="16"/>
  <c r="D26" i="16" s="1"/>
  <c r="L21" i="16"/>
  <c r="L22" i="16" s="1"/>
  <c r="F21" i="16"/>
  <c r="F22" i="16" s="1"/>
  <c r="D21" i="16"/>
  <c r="D22" i="16" s="1"/>
  <c r="L17" i="16"/>
  <c r="L18" i="16" s="1"/>
  <c r="L13" i="16" l="1"/>
  <c r="L14" i="16" s="1"/>
  <c r="AB105" i="16" l="1"/>
  <c r="J28" i="7"/>
  <c r="J27" i="7"/>
  <c r="V25" i="7"/>
  <c r="J25" i="7"/>
  <c r="V24" i="7"/>
  <c r="J24" i="7"/>
  <c r="AH23" i="7"/>
  <c r="AF7" i="16" s="1"/>
  <c r="AF89" i="16" s="1"/>
  <c r="AF90" i="16" s="1"/>
  <c r="AH22" i="7"/>
  <c r="AE7" i="16" s="1"/>
  <c r="V21" i="7"/>
  <c r="J21" i="7"/>
  <c r="V20" i="7"/>
  <c r="J20" i="7"/>
  <c r="J18" i="7"/>
  <c r="J17" i="7"/>
  <c r="AH16" i="7"/>
  <c r="AH15" i="7"/>
  <c r="J14" i="7"/>
  <c r="J13" i="7"/>
  <c r="V11" i="7"/>
  <c r="J11" i="7"/>
  <c r="V10" i="7"/>
  <c r="J10" i="7"/>
  <c r="AH9" i="7"/>
  <c r="AD7" i="16" s="1"/>
  <c r="AH8" i="7"/>
  <c r="AC7" i="16" s="1"/>
  <c r="AC81" i="16" s="1"/>
  <c r="V7" i="7"/>
  <c r="J7" i="7"/>
  <c r="V6" i="7"/>
  <c r="J6" i="7"/>
  <c r="J4" i="7"/>
  <c r="J3" i="7"/>
  <c r="AI10" i="16"/>
  <c r="AH10" i="16"/>
  <c r="AF10" i="16"/>
  <c r="AE10" i="16"/>
  <c r="AD10" i="16"/>
  <c r="AC10" i="16"/>
  <c r="AA10" i="16"/>
  <c r="Z10" i="16"/>
  <c r="Y10" i="16"/>
  <c r="X10" i="16"/>
  <c r="W10" i="16"/>
  <c r="V10" i="16"/>
  <c r="U10" i="16"/>
  <c r="T10" i="16"/>
  <c r="R10" i="16"/>
  <c r="Q10" i="16"/>
  <c r="P10" i="16"/>
  <c r="O10" i="16"/>
  <c r="N10" i="16"/>
  <c r="M10" i="16"/>
  <c r="L10" i="16"/>
  <c r="K10" i="16"/>
  <c r="J10" i="16"/>
  <c r="I10" i="16"/>
  <c r="H10" i="16"/>
  <c r="G10" i="16"/>
  <c r="F10" i="16"/>
  <c r="E10" i="16"/>
  <c r="D10" i="16"/>
  <c r="C10" i="16"/>
  <c r="AI9" i="16"/>
  <c r="AH9" i="16"/>
  <c r="AF9" i="16"/>
  <c r="AE9" i="16"/>
  <c r="AC9" i="16"/>
  <c r="AA9" i="16"/>
  <c r="Z9" i="16"/>
  <c r="Y9" i="16"/>
  <c r="X9" i="16"/>
  <c r="W9" i="16"/>
  <c r="V9" i="16"/>
  <c r="U9" i="16"/>
  <c r="T9" i="16"/>
  <c r="R9" i="16"/>
  <c r="Q9" i="16"/>
  <c r="P9" i="16"/>
  <c r="O9" i="16"/>
  <c r="N9" i="16"/>
  <c r="M9" i="16"/>
  <c r="L9" i="16"/>
  <c r="K9" i="16"/>
  <c r="J9" i="16"/>
  <c r="I9" i="16"/>
  <c r="H9" i="16"/>
  <c r="G9" i="16"/>
  <c r="F9" i="16"/>
  <c r="D9" i="16"/>
  <c r="C9" i="16"/>
  <c r="AE65" i="16" l="1"/>
  <c r="AE66" i="16" s="1"/>
  <c r="AE97" i="16"/>
  <c r="AE98" i="16" s="1"/>
  <c r="AF73" i="16"/>
  <c r="AF74" i="16" s="1"/>
  <c r="AF25" i="16"/>
  <c r="AF26" i="16" s="1"/>
  <c r="AF29" i="16"/>
  <c r="AF30" i="16" s="1"/>
  <c r="AF57" i="16"/>
  <c r="AF58" i="16" s="1"/>
  <c r="AF85" i="16"/>
  <c r="AF86" i="16" s="1"/>
  <c r="AE69" i="16"/>
  <c r="AE70" i="16" s="1"/>
  <c r="AE81" i="16"/>
  <c r="AE82" i="16" s="1"/>
  <c r="AE77" i="16"/>
  <c r="AE78" i="16" s="1"/>
  <c r="AE37" i="16"/>
  <c r="AE38" i="16" s="1"/>
  <c r="AE21" i="16"/>
  <c r="AE22" i="16" s="1"/>
  <c r="AC82" i="16"/>
  <c r="AD89" i="16"/>
  <c r="AD90" i="16" s="1"/>
  <c r="AD73" i="16"/>
  <c r="AD74" i="16" s="1"/>
  <c r="AD85" i="16"/>
  <c r="AD86" i="16" s="1"/>
  <c r="AD53" i="16"/>
  <c r="AD54" i="16" s="1"/>
  <c r="AD69" i="16"/>
  <c r="AD70" i="16" s="1"/>
  <c r="AD49" i="16"/>
  <c r="AD50" i="16" s="1"/>
  <c r="AC41" i="16"/>
  <c r="AC42" i="16" s="1"/>
  <c r="AC65" i="16"/>
  <c r="AC66" i="16" s="1"/>
  <c r="AE12" i="16"/>
  <c r="AE96" i="16"/>
  <c r="AE92" i="16"/>
  <c r="AE80" i="16"/>
  <c r="AE76" i="16"/>
  <c r="AE68" i="16"/>
  <c r="AE64" i="16"/>
  <c r="AE36" i="16"/>
  <c r="AE32" i="16"/>
  <c r="AE20" i="16"/>
  <c r="AE16" i="16"/>
  <c r="AF93" i="16"/>
  <c r="AF94" i="16" s="1"/>
  <c r="AF81" i="16"/>
  <c r="AF82" i="16" s="1"/>
  <c r="AF77" i="16"/>
  <c r="AF78" i="16" s="1"/>
  <c r="AF69" i="16"/>
  <c r="AF70" i="16" s="1"/>
  <c r="AF65" i="16"/>
  <c r="AF66" i="16" s="1"/>
  <c r="AF37" i="16"/>
  <c r="AF38" i="16" s="1"/>
  <c r="AF33" i="16"/>
  <c r="AF34" i="16" s="1"/>
  <c r="AF21" i="16"/>
  <c r="AF22" i="16" s="1"/>
  <c r="AF17" i="16"/>
  <c r="AF18" i="16" s="1"/>
  <c r="AF13" i="16"/>
  <c r="AF14" i="16" s="1"/>
  <c r="AF97" i="16"/>
  <c r="AF98" i="16" s="1"/>
  <c r="AE88" i="16"/>
  <c r="AE84" i="16"/>
  <c r="AE72" i="16"/>
  <c r="AE60" i="16"/>
  <c r="AE56" i="16"/>
  <c r="AE52" i="16"/>
  <c r="AE48" i="16"/>
  <c r="AE44" i="16"/>
  <c r="AE40" i="16"/>
  <c r="AE28" i="16"/>
  <c r="AE24" i="16"/>
  <c r="AE89" i="16"/>
  <c r="AE90" i="16" s="1"/>
  <c r="AE85" i="16"/>
  <c r="AE86" i="16" s="1"/>
  <c r="AE73" i="16"/>
  <c r="AE74" i="16" s="1"/>
  <c r="AE61" i="16"/>
  <c r="AE62" i="16" s="1"/>
  <c r="AE57" i="16"/>
  <c r="AE58" i="16" s="1"/>
  <c r="AE53" i="16"/>
  <c r="AE54" i="16" s="1"/>
  <c r="AE49" i="16"/>
  <c r="AE50" i="16" s="1"/>
  <c r="AE45" i="16"/>
  <c r="AE46" i="16" s="1"/>
  <c r="AE41" i="16"/>
  <c r="AE42" i="16" s="1"/>
  <c r="AE29" i="16"/>
  <c r="AE30" i="16" s="1"/>
  <c r="AE25" i="16"/>
  <c r="AE26" i="16" s="1"/>
  <c r="AD97" i="16"/>
  <c r="AD98" i="16" s="1"/>
  <c r="AD81" i="16"/>
  <c r="AD82" i="16" s="1"/>
  <c r="AD65" i="16"/>
  <c r="AD66" i="16" s="1"/>
  <c r="AD57" i="16"/>
  <c r="AD58" i="16" s="1"/>
  <c r="AD41" i="16"/>
  <c r="AD42" i="16" s="1"/>
  <c r="AD25" i="16"/>
  <c r="AD26" i="16" s="1"/>
  <c r="AC92" i="16"/>
  <c r="AD13" i="16"/>
  <c r="AD14" i="16" s="1"/>
  <c r="AC80" i="16"/>
  <c r="AC64" i="16"/>
  <c r="AC56" i="16"/>
  <c r="AC40" i="16"/>
  <c r="AD93" i="16"/>
  <c r="AD94" i="16" s="1"/>
  <c r="AC96" i="16"/>
  <c r="AC24" i="16"/>
  <c r="AC12" i="16"/>
  <c r="AC89" i="16"/>
  <c r="AC90" i="16" s="1"/>
  <c r="AC84" i="16"/>
  <c r="AC76" i="16"/>
  <c r="AC73" i="16"/>
  <c r="AC74" i="16" s="1"/>
  <c r="AC68" i="16"/>
  <c r="AC60" i="16"/>
  <c r="AC52" i="16"/>
  <c r="AC49" i="16"/>
  <c r="AC50" i="16" s="1"/>
  <c r="AC44" i="16"/>
  <c r="AC36" i="16"/>
  <c r="AC33" i="16"/>
  <c r="AC34" i="16" s="1"/>
  <c r="AC28" i="16"/>
  <c r="AC20" i="16"/>
  <c r="AC17" i="16"/>
  <c r="AC18" i="16" s="1"/>
  <c r="AC88" i="16"/>
  <c r="AC69" i="16"/>
  <c r="AC70" i="16" s="1"/>
  <c r="AC45" i="16"/>
  <c r="AC46" i="16" s="1"/>
  <c r="AC29" i="16"/>
  <c r="AC30" i="16" s="1"/>
  <c r="AC21" i="16"/>
  <c r="AC22" i="16" s="1"/>
  <c r="AC16" i="16"/>
  <c r="AC85" i="16"/>
  <c r="AC86" i="16" s="1"/>
  <c r="AC77" i="16"/>
  <c r="AC78" i="16" s="1"/>
  <c r="AC72" i="16"/>
  <c r="AC61" i="16"/>
  <c r="AC62" i="16" s="1"/>
  <c r="AC53" i="16"/>
  <c r="AC54" i="16" s="1"/>
  <c r="AC48" i="16"/>
  <c r="AC37" i="16"/>
  <c r="AC38" i="16" s="1"/>
  <c r="AC32" i="16"/>
  <c r="AH7" i="16"/>
  <c r="W7" i="16"/>
  <c r="V7" i="16"/>
  <c r="H7" i="16"/>
  <c r="H25" i="16" s="1"/>
  <c r="H26" i="16" s="1"/>
  <c r="O7" i="16"/>
  <c r="AA7" i="16"/>
  <c r="T7" i="16"/>
  <c r="AI7" i="16"/>
  <c r="Q7" i="16"/>
  <c r="Q57" i="16" s="1"/>
  <c r="Q58" i="16" s="1"/>
  <c r="U7" i="16"/>
  <c r="U49" i="16" s="1"/>
  <c r="U50" i="16" s="1"/>
  <c r="C7" i="16"/>
  <c r="C13" i="16" s="1"/>
  <c r="G7" i="16"/>
  <c r="K7" i="16"/>
  <c r="P7" i="16"/>
  <c r="R7" i="16"/>
  <c r="M7" i="16"/>
  <c r="M53" i="16" s="1"/>
  <c r="M54" i="16" s="1"/>
  <c r="I7" i="16"/>
  <c r="Z7" i="16"/>
  <c r="L7" i="16"/>
  <c r="N7" i="16"/>
  <c r="N97" i="16" s="1"/>
  <c r="N98" i="16" s="1"/>
  <c r="Y7" i="16"/>
  <c r="J7" i="16"/>
  <c r="D7" i="16"/>
  <c r="X7" i="16"/>
  <c r="X73" i="16" s="1"/>
  <c r="X74" i="16" s="1"/>
  <c r="AH61" i="16" l="1"/>
  <c r="AH62" i="16" s="1"/>
  <c r="AH56" i="16"/>
  <c r="AH45" i="16"/>
  <c r="AH46" i="16" s="1"/>
  <c r="AH29" i="16"/>
  <c r="AH30" i="16" s="1"/>
  <c r="AH13" i="16"/>
  <c r="AH14" i="16" s="1"/>
  <c r="AH44" i="16"/>
  <c r="AH17" i="16"/>
  <c r="AH18" i="16" s="1"/>
  <c r="AH36" i="16"/>
  <c r="AH81" i="16"/>
  <c r="AH82" i="16" s="1"/>
  <c r="AH60" i="16"/>
  <c r="AH49" i="16"/>
  <c r="AH50" i="16" s="1"/>
  <c r="AH28" i="16"/>
  <c r="AH12" i="16"/>
  <c r="AH57" i="16"/>
  <c r="AH58" i="16" s="1"/>
  <c r="AH80" i="16"/>
  <c r="AH48" i="16"/>
  <c r="AJ71" i="16" s="1"/>
  <c r="AH37" i="16"/>
  <c r="AH38" i="16" s="1"/>
  <c r="AH16" i="16"/>
  <c r="AI97" i="16"/>
  <c r="AI98" i="16" s="1"/>
  <c r="AH88" i="16"/>
  <c r="AH72" i="16"/>
  <c r="AI65" i="16"/>
  <c r="AI66" i="16" s="1"/>
  <c r="AH40" i="16"/>
  <c r="AI33" i="16"/>
  <c r="AI34" i="16" s="1"/>
  <c r="AH24" i="16"/>
  <c r="AH68" i="16"/>
  <c r="AH52" i="16"/>
  <c r="AH92" i="16"/>
  <c r="AJ87" i="16" s="1"/>
  <c r="AI85" i="16"/>
  <c r="AI86" i="16" s="1"/>
  <c r="AH76" i="16"/>
  <c r="AI69" i="16"/>
  <c r="AI70" i="16" s="1"/>
  <c r="AI53" i="16"/>
  <c r="AI54" i="16" s="1"/>
  <c r="AI21" i="16"/>
  <c r="AI22" i="16" s="1"/>
  <c r="AH96" i="16"/>
  <c r="AI89" i="16"/>
  <c r="AI90" i="16" s="1"/>
  <c r="AI73" i="16"/>
  <c r="AI74" i="16" s="1"/>
  <c r="AH64" i="16"/>
  <c r="AI41" i="16"/>
  <c r="AI42" i="16" s="1"/>
  <c r="AH32" i="16"/>
  <c r="AI25" i="16"/>
  <c r="AI26" i="16" s="1"/>
  <c r="AI93" i="16"/>
  <c r="AI94" i="16" s="1"/>
  <c r="AH84" i="16"/>
  <c r="AI77" i="16"/>
  <c r="AI78" i="16" s="1"/>
  <c r="AH20" i="16"/>
  <c r="AG87" i="16"/>
  <c r="AG95" i="16"/>
  <c r="AG71" i="16"/>
  <c r="AG47" i="16"/>
  <c r="Y77" i="16"/>
  <c r="Y78" i="16" s="1"/>
  <c r="Y89" i="16"/>
  <c r="Y90" i="16" s="1"/>
  <c r="AA33" i="16"/>
  <c r="AA34" i="16" s="1"/>
  <c r="AA65" i="16"/>
  <c r="AA66" i="16" s="1"/>
  <c r="L29" i="16"/>
  <c r="L30" i="16" s="1"/>
  <c r="L57" i="16"/>
  <c r="L58" i="16" s="1"/>
  <c r="T13" i="16"/>
  <c r="T14" i="16" s="1"/>
  <c r="T77" i="16"/>
  <c r="T78" i="16" s="1"/>
  <c r="W21" i="16"/>
  <c r="W22" i="16" s="1"/>
  <c r="W49" i="16"/>
  <c r="W50" i="16" s="1"/>
  <c r="W13" i="16"/>
  <c r="W14" i="16" s="1"/>
  <c r="W53" i="16"/>
  <c r="W54" i="16" s="1"/>
  <c r="W17" i="16"/>
  <c r="W18" i="16" s="1"/>
  <c r="P21" i="16"/>
  <c r="P22" i="16" s="1"/>
  <c r="P37" i="16"/>
  <c r="P38" i="16" s="1"/>
  <c r="V65" i="16"/>
  <c r="V66" i="16" s="1"/>
  <c r="V37" i="16"/>
  <c r="V38" i="16" s="1"/>
  <c r="Z81" i="16"/>
  <c r="Z82" i="16" s="1"/>
  <c r="Z17" i="16"/>
  <c r="Z18" i="16" s="1"/>
  <c r="AA77" i="16"/>
  <c r="AA78" i="16" s="1"/>
  <c r="AA57" i="16"/>
  <c r="AA58" i="16" s="1"/>
  <c r="AA13" i="16"/>
  <c r="AA14" i="16" s="1"/>
  <c r="Y61" i="16"/>
  <c r="Y62" i="16" s="1"/>
  <c r="Y41" i="16"/>
  <c r="Y42" i="16" s="1"/>
  <c r="Y97" i="16"/>
  <c r="Y98" i="16" s="1"/>
  <c r="Y53" i="16"/>
  <c r="Y54" i="16" s="1"/>
  <c r="Y17" i="16"/>
  <c r="Y18" i="16" s="1"/>
  <c r="X85" i="16"/>
  <c r="X86" i="16" s="1"/>
  <c r="X21" i="16"/>
  <c r="X22" i="16" s="1"/>
  <c r="X93" i="16"/>
  <c r="X94" i="16" s="1"/>
  <c r="X57" i="16"/>
  <c r="X58" i="16" s="1"/>
  <c r="X13" i="16"/>
  <c r="X14" i="16" s="1"/>
  <c r="T21" i="16"/>
  <c r="T22" i="16" s="1"/>
  <c r="T85" i="16"/>
  <c r="T86" i="16" s="1"/>
  <c r="T61" i="16"/>
  <c r="T62" i="16" s="1"/>
  <c r="W33" i="16"/>
  <c r="W34" i="16" s="1"/>
  <c r="W77" i="16"/>
  <c r="W78" i="16" s="1"/>
  <c r="W25" i="16"/>
  <c r="W26" i="16" s="1"/>
  <c r="W69" i="16"/>
  <c r="W70" i="16" s="1"/>
  <c r="V81" i="16"/>
  <c r="V82" i="16" s="1"/>
  <c r="V73" i="16"/>
  <c r="V74" i="16" s="1"/>
  <c r="V41" i="16"/>
  <c r="V42" i="16" s="1"/>
  <c r="V29" i="16"/>
  <c r="V30" i="16" s="1"/>
  <c r="Y69" i="16"/>
  <c r="Y70" i="16" s="1"/>
  <c r="Y49" i="16"/>
  <c r="Y50" i="16" s="1"/>
  <c r="Y29" i="16"/>
  <c r="Y30" i="16" s="1"/>
  <c r="Y37" i="16"/>
  <c r="Y38" i="16" s="1"/>
  <c r="X45" i="16"/>
  <c r="X46" i="16" s="1"/>
  <c r="X25" i="16"/>
  <c r="X26" i="16" s="1"/>
  <c r="X81" i="16"/>
  <c r="X82" i="16" s="1"/>
  <c r="X33" i="16"/>
  <c r="X34" i="16" s="1"/>
  <c r="U25" i="16"/>
  <c r="U26" i="16" s="1"/>
  <c r="U69" i="16"/>
  <c r="U70" i="16" s="1"/>
  <c r="U45" i="16"/>
  <c r="U46" i="16" s="1"/>
  <c r="T29" i="16"/>
  <c r="T30" i="16" s="1"/>
  <c r="T53" i="16"/>
  <c r="T54" i="16" s="1"/>
  <c r="T81" i="16"/>
  <c r="T82" i="16" s="1"/>
  <c r="Z85" i="16"/>
  <c r="Z86" i="16" s="1"/>
  <c r="Z53" i="16"/>
  <c r="Z54" i="16" s="1"/>
  <c r="Z29" i="16"/>
  <c r="Z30" i="16" s="1"/>
  <c r="AA25" i="16"/>
  <c r="AA26" i="16" s="1"/>
  <c r="AA73" i="16"/>
  <c r="AA74" i="16" s="1"/>
  <c r="AA45" i="16"/>
  <c r="AA46" i="16" s="1"/>
  <c r="AA81" i="16"/>
  <c r="AA82" i="16" s="1"/>
  <c r="AA17" i="16"/>
  <c r="AA18" i="16" s="1"/>
  <c r="Z16" i="16"/>
  <c r="Z80" i="16"/>
  <c r="Z52" i="16"/>
  <c r="AA85" i="16"/>
  <c r="AA86" i="16" s="1"/>
  <c r="AA53" i="16"/>
  <c r="AA54" i="16" s="1"/>
  <c r="AA29" i="16"/>
  <c r="AA30" i="16" s="1"/>
  <c r="Z84" i="16"/>
  <c r="Z28" i="16"/>
  <c r="Z45" i="16"/>
  <c r="Z46" i="16" s="1"/>
  <c r="Z36" i="16"/>
  <c r="Z21" i="16"/>
  <c r="Z22" i="16" s="1"/>
  <c r="Z13" i="16"/>
  <c r="Z14" i="16" s="1"/>
  <c r="Z97" i="16"/>
  <c r="Z98" i="16" s="1"/>
  <c r="Z96" i="16"/>
  <c r="Z89" i="16"/>
  <c r="Z90" i="16" s="1"/>
  <c r="Z88" i="16"/>
  <c r="Z73" i="16"/>
  <c r="Z74" i="16" s="1"/>
  <c r="Z72" i="16"/>
  <c r="Z65" i="16"/>
  <c r="Z66" i="16" s="1"/>
  <c r="Z64" i="16"/>
  <c r="Z57" i="16"/>
  <c r="Z58" i="16" s="1"/>
  <c r="Z56" i="16"/>
  <c r="Z49" i="16"/>
  <c r="Z50" i="16" s="1"/>
  <c r="Z48" i="16"/>
  <c r="Z41" i="16"/>
  <c r="Z42" i="16" s="1"/>
  <c r="Z40" i="16"/>
  <c r="Z33" i="16"/>
  <c r="Z34" i="16" s="1"/>
  <c r="Z32" i="16"/>
  <c r="Z25" i="16"/>
  <c r="Z26" i="16" s="1"/>
  <c r="Z24" i="16"/>
  <c r="Z68" i="16"/>
  <c r="Z60" i="16"/>
  <c r="Z37" i="16"/>
  <c r="Z38" i="16" s="1"/>
  <c r="Z12" i="16"/>
  <c r="Z93" i="16"/>
  <c r="Z94" i="16" s="1"/>
  <c r="Z92" i="16"/>
  <c r="Z77" i="16"/>
  <c r="Z78" i="16" s="1"/>
  <c r="Z76" i="16"/>
  <c r="Z69" i="16"/>
  <c r="Z70" i="16" s="1"/>
  <c r="Z61" i="16"/>
  <c r="Z62" i="16" s="1"/>
  <c r="Z44" i="16"/>
  <c r="Z20" i="16"/>
  <c r="X92" i="16"/>
  <c r="X84" i="16"/>
  <c r="X72" i="16"/>
  <c r="X56" i="16"/>
  <c r="X44" i="16"/>
  <c r="X24" i="16"/>
  <c r="X20" i="16"/>
  <c r="Y93" i="16"/>
  <c r="Y94" i="16" s="1"/>
  <c r="Y85" i="16"/>
  <c r="Y86" i="16" s="1"/>
  <c r="Y81" i="16"/>
  <c r="Y82" i="16" s="1"/>
  <c r="Y73" i="16"/>
  <c r="Y74" i="16" s="1"/>
  <c r="Y57" i="16"/>
  <c r="Y58" i="16" s="1"/>
  <c r="Y45" i="16"/>
  <c r="Y46" i="16" s="1"/>
  <c r="Y33" i="16"/>
  <c r="Y34" i="16" s="1"/>
  <c r="Y25" i="16"/>
  <c r="Y26" i="16" s="1"/>
  <c r="Y21" i="16"/>
  <c r="Y22" i="16" s="1"/>
  <c r="Y13" i="16"/>
  <c r="Y14" i="16" s="1"/>
  <c r="X80" i="16"/>
  <c r="X32" i="16"/>
  <c r="X12" i="16"/>
  <c r="X97" i="16"/>
  <c r="X98" i="16" s="1"/>
  <c r="X77" i="16"/>
  <c r="X78" i="16" s="1"/>
  <c r="X76" i="16"/>
  <c r="X68" i="16"/>
  <c r="X64" i="16"/>
  <c r="X60" i="16"/>
  <c r="X52" i="16"/>
  <c r="X48" i="16"/>
  <c r="X40" i="16"/>
  <c r="X17" i="16"/>
  <c r="X18" i="16" s="1"/>
  <c r="X96" i="16"/>
  <c r="X89" i="16"/>
  <c r="X90" i="16" s="1"/>
  <c r="X88" i="16"/>
  <c r="X69" i="16"/>
  <c r="X70" i="16" s="1"/>
  <c r="X65" i="16"/>
  <c r="X66" i="16" s="1"/>
  <c r="X61" i="16"/>
  <c r="X62" i="16" s="1"/>
  <c r="X53" i="16"/>
  <c r="X54" i="16" s="1"/>
  <c r="X49" i="16"/>
  <c r="X50" i="16" s="1"/>
  <c r="X41" i="16"/>
  <c r="X42" i="16" s="1"/>
  <c r="X37" i="16"/>
  <c r="X38" i="16" s="1"/>
  <c r="X36" i="16"/>
  <c r="X29" i="16"/>
  <c r="X30" i="16" s="1"/>
  <c r="X28" i="16"/>
  <c r="X16" i="16"/>
  <c r="W81" i="16"/>
  <c r="W82" i="16" s="1"/>
  <c r="W73" i="16"/>
  <c r="W74" i="16" s="1"/>
  <c r="W65" i="16"/>
  <c r="W66" i="16" s="1"/>
  <c r="W41" i="16"/>
  <c r="W42" i="16" s="1"/>
  <c r="V64" i="16"/>
  <c r="V80" i="16"/>
  <c r="V72" i="16"/>
  <c r="V40" i="16"/>
  <c r="W37" i="16"/>
  <c r="W38" i="16" s="1"/>
  <c r="W29" i="16"/>
  <c r="W30" i="16" s="1"/>
  <c r="V36" i="16"/>
  <c r="V28" i="16"/>
  <c r="V49" i="16"/>
  <c r="V50" i="16" s="1"/>
  <c r="V24" i="16"/>
  <c r="V97" i="16"/>
  <c r="V98" i="16" s="1"/>
  <c r="V96" i="16"/>
  <c r="V89" i="16"/>
  <c r="V90" i="16" s="1"/>
  <c r="V88" i="16"/>
  <c r="V57" i="16"/>
  <c r="V58" i="16" s="1"/>
  <c r="V56" i="16"/>
  <c r="V48" i="16"/>
  <c r="V32" i="16"/>
  <c r="V16" i="16"/>
  <c r="V93" i="16"/>
  <c r="V94" i="16" s="1"/>
  <c r="V92" i="16"/>
  <c r="V85" i="16"/>
  <c r="V86" i="16" s="1"/>
  <c r="V84" i="16"/>
  <c r="V77" i="16"/>
  <c r="V78" i="16" s="1"/>
  <c r="V76" i="16"/>
  <c r="V69" i="16"/>
  <c r="V70" i="16" s="1"/>
  <c r="V68" i="16"/>
  <c r="V61" i="16"/>
  <c r="V62" i="16" s="1"/>
  <c r="V60" i="16"/>
  <c r="V53" i="16"/>
  <c r="V54" i="16" s="1"/>
  <c r="V52" i="16"/>
  <c r="V45" i="16"/>
  <c r="V46" i="16" s="1"/>
  <c r="V44" i="16"/>
  <c r="V21" i="16"/>
  <c r="V22" i="16" s="1"/>
  <c r="V20" i="16"/>
  <c r="V13" i="16"/>
  <c r="V14" i="16" s="1"/>
  <c r="V12" i="16"/>
  <c r="V33" i="16"/>
  <c r="V34" i="16" s="1"/>
  <c r="V25" i="16"/>
  <c r="V26" i="16" s="1"/>
  <c r="V17" i="16"/>
  <c r="V18" i="16" s="1"/>
  <c r="T69" i="16"/>
  <c r="T70" i="16" s="1"/>
  <c r="T49" i="16"/>
  <c r="T50" i="16" s="1"/>
  <c r="T45" i="16"/>
  <c r="T46" i="16" s="1"/>
  <c r="T25" i="16"/>
  <c r="T26" i="16" s="1"/>
  <c r="T68" i="16"/>
  <c r="T48" i="16"/>
  <c r="T44" i="16"/>
  <c r="T24" i="16"/>
  <c r="U13" i="16"/>
  <c r="U14" i="16" s="1"/>
  <c r="T88" i="16"/>
  <c r="T76" i="16"/>
  <c r="T64" i="16"/>
  <c r="T60" i="16"/>
  <c r="T36" i="16"/>
  <c r="T20" i="16"/>
  <c r="T16" i="16"/>
  <c r="T12" i="16"/>
  <c r="T84" i="16"/>
  <c r="T32" i="16"/>
  <c r="U97" i="16"/>
  <c r="U98" i="16" s="1"/>
  <c r="U93" i="16"/>
  <c r="U94" i="16" s="1"/>
  <c r="U89" i="16"/>
  <c r="U90" i="16" s="1"/>
  <c r="U85" i="16"/>
  <c r="U86" i="16" s="1"/>
  <c r="U81" i="16"/>
  <c r="U82" i="16" s="1"/>
  <c r="U77" i="16"/>
  <c r="U78" i="16" s="1"/>
  <c r="U73" i="16"/>
  <c r="U74" i="16" s="1"/>
  <c r="U65" i="16"/>
  <c r="U66" i="16" s="1"/>
  <c r="U61" i="16"/>
  <c r="U62" i="16" s="1"/>
  <c r="U57" i="16"/>
  <c r="U58" i="16" s="1"/>
  <c r="U53" i="16"/>
  <c r="U54" i="16" s="1"/>
  <c r="U41" i="16"/>
  <c r="U42" i="16" s="1"/>
  <c r="U37" i="16"/>
  <c r="U38" i="16" s="1"/>
  <c r="U33" i="16"/>
  <c r="U34" i="16" s="1"/>
  <c r="U29" i="16"/>
  <c r="U30" i="16" s="1"/>
  <c r="U21" i="16"/>
  <c r="U22" i="16" s="1"/>
  <c r="U17" i="16"/>
  <c r="U18" i="16" s="1"/>
  <c r="T96" i="16"/>
  <c r="T92" i="16"/>
  <c r="T80" i="16"/>
  <c r="T72" i="16"/>
  <c r="T56" i="16"/>
  <c r="T52" i="16"/>
  <c r="T40" i="16"/>
  <c r="T28" i="16"/>
  <c r="H61" i="16"/>
  <c r="H62" i="16" s="1"/>
  <c r="H29" i="16"/>
  <c r="H30" i="16" s="1"/>
  <c r="F29" i="16"/>
  <c r="F30" i="16" s="1"/>
  <c r="F13" i="16"/>
  <c r="F14" i="16" s="1"/>
  <c r="H77" i="16"/>
  <c r="H78" i="16" s="1"/>
  <c r="H57" i="16"/>
  <c r="H58" i="16" s="1"/>
  <c r="Q73" i="16"/>
  <c r="Q74" i="16" s="1"/>
  <c r="Q85" i="16"/>
  <c r="Q86" i="16" s="1"/>
  <c r="Q81" i="16"/>
  <c r="Q82" i="16" s="1"/>
  <c r="N33" i="16"/>
  <c r="N34" i="16" s="1"/>
  <c r="N77" i="16"/>
  <c r="N78" i="16" s="1"/>
  <c r="N73" i="16"/>
  <c r="N74" i="16" s="1"/>
  <c r="L37" i="16"/>
  <c r="L38" i="16" s="1"/>
  <c r="L33" i="16"/>
  <c r="L34" i="16" s="1"/>
  <c r="H85" i="16"/>
  <c r="H86" i="16" s="1"/>
  <c r="H93" i="16"/>
  <c r="H94" i="16" s="1"/>
  <c r="Q89" i="16"/>
  <c r="Q90" i="16" s="1"/>
  <c r="Q97" i="16"/>
  <c r="Q98" i="16" s="1"/>
  <c r="P49" i="16"/>
  <c r="P50" i="16" s="1"/>
  <c r="P17" i="16"/>
  <c r="P18" i="16" s="1"/>
  <c r="H37" i="16"/>
  <c r="H38" i="16" s="1"/>
  <c r="H97" i="16"/>
  <c r="H98" i="16" s="1"/>
  <c r="F53" i="16"/>
  <c r="F54" i="16" s="1"/>
  <c r="F57" i="16"/>
  <c r="F58" i="16" s="1"/>
  <c r="F37" i="16"/>
  <c r="F38" i="16" s="1"/>
  <c r="N89" i="16"/>
  <c r="N90" i="16" s="1"/>
  <c r="N37" i="16"/>
  <c r="N38" i="16" s="1"/>
  <c r="Q69" i="16"/>
  <c r="Q70" i="16" s="1"/>
  <c r="Q65" i="16"/>
  <c r="Q66" i="16" s="1"/>
  <c r="Q37" i="16"/>
  <c r="Q38" i="16" s="1"/>
  <c r="L45" i="16"/>
  <c r="L46" i="16" s="1"/>
  <c r="L49" i="16"/>
  <c r="L50" i="16" s="1"/>
  <c r="F73" i="16"/>
  <c r="F74" i="16" s="1"/>
  <c r="F65" i="16"/>
  <c r="F66" i="16" s="1"/>
  <c r="F49" i="16"/>
  <c r="F50" i="16" s="1"/>
  <c r="M88" i="16"/>
  <c r="M89" i="16"/>
  <c r="M90" i="16" s="1"/>
  <c r="M81" i="16"/>
  <c r="M82" i="16" s="1"/>
  <c r="M69" i="16"/>
  <c r="M70" i="16" s="1"/>
  <c r="M65" i="16"/>
  <c r="M66" i="16" s="1"/>
  <c r="M61" i="16"/>
  <c r="M62" i="16" s="1"/>
  <c r="J89" i="16"/>
  <c r="J90" i="16" s="1"/>
  <c r="I88" i="16"/>
  <c r="J57" i="16"/>
  <c r="J58" i="16" s="1"/>
  <c r="J61" i="16"/>
  <c r="J62" i="16" s="1"/>
  <c r="J17" i="16"/>
  <c r="J18" i="16" s="1"/>
  <c r="J45" i="16"/>
  <c r="J46" i="16" s="1"/>
  <c r="G88" i="16"/>
  <c r="G89" i="16"/>
  <c r="G90" i="16" s="1"/>
  <c r="G65" i="16"/>
  <c r="G66" i="16" s="1"/>
  <c r="H53" i="16"/>
  <c r="H54" i="16" s="1"/>
  <c r="H33" i="16"/>
  <c r="H34" i="16" s="1"/>
  <c r="H17" i="16"/>
  <c r="H18" i="16" s="1"/>
  <c r="R89" i="16"/>
  <c r="R90" i="16" s="1"/>
  <c r="Q88" i="16"/>
  <c r="R53" i="16"/>
  <c r="R54" i="16" s="1"/>
  <c r="R61" i="16"/>
  <c r="R62" i="16" s="1"/>
  <c r="R45" i="16"/>
  <c r="R46" i="16" s="1"/>
  <c r="F77" i="16"/>
  <c r="F78" i="16" s="1"/>
  <c r="F69" i="16"/>
  <c r="F70" i="16" s="1"/>
  <c r="F61" i="16"/>
  <c r="F62" i="16" s="1"/>
  <c r="C89" i="16"/>
  <c r="C88" i="16"/>
  <c r="E88" i="16"/>
  <c r="E89" i="16"/>
  <c r="E90" i="16" s="1"/>
  <c r="E81" i="16"/>
  <c r="E82" i="16" s="1"/>
  <c r="E41" i="16"/>
  <c r="E42" i="16" s="1"/>
  <c r="N57" i="16"/>
  <c r="N58" i="16" s="1"/>
  <c r="N45" i="16"/>
  <c r="N46" i="16" s="1"/>
  <c r="N41" i="16"/>
  <c r="N42" i="16" s="1"/>
  <c r="N17" i="16"/>
  <c r="N18" i="16" s="1"/>
  <c r="N25" i="16"/>
  <c r="N26" i="16" s="1"/>
  <c r="N13" i="16"/>
  <c r="N14" i="16" s="1"/>
  <c r="K89" i="16"/>
  <c r="K90" i="16" s="1"/>
  <c r="K88" i="16"/>
  <c r="K81" i="16"/>
  <c r="K82" i="16" s="1"/>
  <c r="Q25" i="16"/>
  <c r="Q26" i="16" s="1"/>
  <c r="Q17" i="16"/>
  <c r="Q18" i="16" s="1"/>
  <c r="O89" i="16"/>
  <c r="O90" i="16" s="1"/>
  <c r="O88" i="16"/>
  <c r="O57" i="16"/>
  <c r="O58" i="16" s="1"/>
  <c r="O56" i="16"/>
  <c r="D17" i="16"/>
  <c r="D18" i="16" s="1"/>
  <c r="R97" i="16"/>
  <c r="R98" i="16" s="1"/>
  <c r="Q96" i="16"/>
  <c r="C97" i="16"/>
  <c r="C96" i="16"/>
  <c r="E97" i="16"/>
  <c r="E98" i="16" s="1"/>
  <c r="E96" i="16"/>
  <c r="N93" i="16"/>
  <c r="N94" i="16" s="1"/>
  <c r="K97" i="16"/>
  <c r="K98" i="16" s="1"/>
  <c r="K96" i="16"/>
  <c r="Q93" i="16"/>
  <c r="Q94" i="16" s="1"/>
  <c r="O96" i="16"/>
  <c r="O97" i="16"/>
  <c r="O98" i="16" s="1"/>
  <c r="J97" i="16"/>
  <c r="J98" i="16" s="1"/>
  <c r="I96" i="16"/>
  <c r="M97" i="16"/>
  <c r="M98" i="16" s="1"/>
  <c r="M96" i="16"/>
  <c r="M85" i="16"/>
  <c r="M86" i="16" s="1"/>
  <c r="G96" i="16"/>
  <c r="G97" i="16"/>
  <c r="G98" i="16" s="1"/>
  <c r="J93" i="16"/>
  <c r="J94" i="16" s="1"/>
  <c r="I92" i="16"/>
  <c r="J85" i="16"/>
  <c r="J86" i="16" s="1"/>
  <c r="I84" i="16"/>
  <c r="J81" i="16"/>
  <c r="J82" i="16" s="1"/>
  <c r="I80" i="16"/>
  <c r="J77" i="16"/>
  <c r="J78" i="16" s="1"/>
  <c r="I76" i="16"/>
  <c r="J73" i="16"/>
  <c r="J74" i="16" s="1"/>
  <c r="I72" i="16"/>
  <c r="J69" i="16"/>
  <c r="J70" i="16" s="1"/>
  <c r="I68" i="16"/>
  <c r="J65" i="16"/>
  <c r="J66" i="16" s="1"/>
  <c r="I64" i="16"/>
  <c r="J53" i="16"/>
  <c r="J54" i="16" s="1"/>
  <c r="I52" i="16"/>
  <c r="J49" i="16"/>
  <c r="J50" i="16" s="1"/>
  <c r="J41" i="16"/>
  <c r="J42" i="16" s="1"/>
  <c r="J37" i="16"/>
  <c r="J38" i="16" s="1"/>
  <c r="J33" i="16"/>
  <c r="J34" i="16" s="1"/>
  <c r="J29" i="16"/>
  <c r="J30" i="16" s="1"/>
  <c r="J25" i="16"/>
  <c r="J26" i="16" s="1"/>
  <c r="J21" i="16"/>
  <c r="J22" i="16" s="1"/>
  <c r="J13" i="16"/>
  <c r="J14" i="16" s="1"/>
  <c r="G93" i="16"/>
  <c r="G94" i="16" s="1"/>
  <c r="G84" i="16"/>
  <c r="G92" i="16"/>
  <c r="G85" i="16"/>
  <c r="G86" i="16" s="1"/>
  <c r="G80" i="16"/>
  <c r="G76" i="16"/>
  <c r="G72" i="16"/>
  <c r="G68" i="16"/>
  <c r="G60" i="16"/>
  <c r="G56" i="16"/>
  <c r="G52" i="16"/>
  <c r="G81" i="16"/>
  <c r="G82" i="16" s="1"/>
  <c r="G61" i="16"/>
  <c r="G62" i="16" s="1"/>
  <c r="G53" i="16"/>
  <c r="G54" i="16" s="1"/>
  <c r="G77" i="16"/>
  <c r="G78" i="16" s="1"/>
  <c r="G69" i="16"/>
  <c r="G70" i="16" s="1"/>
  <c r="G57" i="16"/>
  <c r="G58" i="16" s="1"/>
  <c r="G73" i="16"/>
  <c r="G74" i="16" s="1"/>
  <c r="G49" i="16"/>
  <c r="G50" i="16" s="1"/>
  <c r="G45" i="16"/>
  <c r="G46" i="16" s="1"/>
  <c r="G41" i="16"/>
  <c r="G42" i="16" s="1"/>
  <c r="C93" i="16"/>
  <c r="C92" i="16"/>
  <c r="C85" i="16"/>
  <c r="C84" i="16"/>
  <c r="C81" i="16"/>
  <c r="C80" i="16"/>
  <c r="C77" i="16"/>
  <c r="C72" i="16"/>
  <c r="C69" i="16"/>
  <c r="C56" i="16"/>
  <c r="C53" i="16"/>
  <c r="C65" i="16"/>
  <c r="C60" i="16"/>
  <c r="C57" i="16"/>
  <c r="C76" i="16"/>
  <c r="C73" i="16"/>
  <c r="C68" i="16"/>
  <c r="C64" i="16"/>
  <c r="C52" i="16"/>
  <c r="C61" i="16"/>
  <c r="C17" i="16"/>
  <c r="C18" i="16" s="1"/>
  <c r="C14" i="16"/>
  <c r="E85" i="16"/>
  <c r="E86" i="16" s="1"/>
  <c r="E84" i="16"/>
  <c r="E93" i="16"/>
  <c r="E94" i="16" s="1"/>
  <c r="E92" i="16"/>
  <c r="E77" i="16"/>
  <c r="E78" i="16" s="1"/>
  <c r="E73" i="16"/>
  <c r="E74" i="16" s="1"/>
  <c r="E69" i="16"/>
  <c r="E70" i="16" s="1"/>
  <c r="E65" i="16"/>
  <c r="E66" i="16" s="1"/>
  <c r="E61" i="16"/>
  <c r="E62" i="16" s="1"/>
  <c r="E57" i="16"/>
  <c r="E58" i="16" s="1"/>
  <c r="E53" i="16"/>
  <c r="E54" i="16" s="1"/>
  <c r="E76" i="16"/>
  <c r="E72" i="16"/>
  <c r="E68" i="16"/>
  <c r="E64" i="16"/>
  <c r="E60" i="16"/>
  <c r="E56" i="16"/>
  <c r="E52" i="16"/>
  <c r="E45" i="16"/>
  <c r="E46" i="16" s="1"/>
  <c r="E17" i="16"/>
  <c r="E18" i="16" s="1"/>
  <c r="F81" i="16"/>
  <c r="F82" i="16" s="1"/>
  <c r="E80" i="16"/>
  <c r="F33" i="16"/>
  <c r="F34" i="16" s="1"/>
  <c r="F25" i="16"/>
  <c r="F26" i="16" s="1"/>
  <c r="L81" i="16"/>
  <c r="L82" i="16" s="1"/>
  <c r="K80" i="16"/>
  <c r="M92" i="16"/>
  <c r="M93" i="16"/>
  <c r="M94" i="16" s="1"/>
  <c r="M77" i="16"/>
  <c r="M78" i="16" s="1"/>
  <c r="M73" i="16"/>
  <c r="M74" i="16" s="1"/>
  <c r="M57" i="16"/>
  <c r="M58" i="16" s="1"/>
  <c r="M76" i="16"/>
  <c r="M72" i="16"/>
  <c r="M56" i="16"/>
  <c r="M29" i="16"/>
  <c r="M30" i="16" s="1"/>
  <c r="G64" i="16"/>
  <c r="H65" i="16"/>
  <c r="H66" i="16" s="1"/>
  <c r="H21" i="16"/>
  <c r="H22" i="16" s="1"/>
  <c r="H13" i="16"/>
  <c r="H14" i="16" s="1"/>
  <c r="R93" i="16"/>
  <c r="R94" i="16" s="1"/>
  <c r="Q92" i="16"/>
  <c r="R85" i="16"/>
  <c r="R86" i="16" s="1"/>
  <c r="Q84" i="16"/>
  <c r="R81" i="16"/>
  <c r="R82" i="16" s="1"/>
  <c r="Q80" i="16"/>
  <c r="R77" i="16"/>
  <c r="R78" i="16" s="1"/>
  <c r="Q76" i="16"/>
  <c r="R73" i="16"/>
  <c r="R74" i="16" s="1"/>
  <c r="Q72" i="16"/>
  <c r="R69" i="16"/>
  <c r="R70" i="16" s="1"/>
  <c r="Q68" i="16"/>
  <c r="R65" i="16"/>
  <c r="R66" i="16" s="1"/>
  <c r="Q64" i="16"/>
  <c r="R57" i="16"/>
  <c r="R58" i="16" s="1"/>
  <c r="Q56" i="16"/>
  <c r="R49" i="16"/>
  <c r="R50" i="16" s="1"/>
  <c r="R41" i="16"/>
  <c r="R42" i="16" s="1"/>
  <c r="R33" i="16"/>
  <c r="R34" i="16" s="1"/>
  <c r="R29" i="16"/>
  <c r="R30" i="16" s="1"/>
  <c r="N29" i="16"/>
  <c r="N30" i="16" s="1"/>
  <c r="M84" i="16"/>
  <c r="N85" i="16"/>
  <c r="N86" i="16" s="1"/>
  <c r="N81" i="16"/>
  <c r="N82" i="16" s="1"/>
  <c r="N69" i="16"/>
  <c r="N70" i="16" s="1"/>
  <c r="N65" i="16"/>
  <c r="N66" i="16" s="1"/>
  <c r="N61" i="16"/>
  <c r="N62" i="16" s="1"/>
  <c r="N53" i="16"/>
  <c r="N54" i="16" s="1"/>
  <c r="M80" i="16"/>
  <c r="M68" i="16"/>
  <c r="M64" i="16"/>
  <c r="M60" i="16"/>
  <c r="M52" i="16"/>
  <c r="N49" i="16"/>
  <c r="N50" i="16" s="1"/>
  <c r="N21" i="16"/>
  <c r="N22" i="16" s="1"/>
  <c r="I60" i="16"/>
  <c r="I56" i="16"/>
  <c r="I61" i="16"/>
  <c r="I62" i="16" s="1"/>
  <c r="I57" i="16"/>
  <c r="I58" i="16" s="1"/>
  <c r="K93" i="16"/>
  <c r="K94" i="16" s="1"/>
  <c r="K92" i="16"/>
  <c r="K85" i="16"/>
  <c r="K86" i="16" s="1"/>
  <c r="K84" i="16"/>
  <c r="K73" i="16"/>
  <c r="K74" i="16" s="1"/>
  <c r="K65" i="16"/>
  <c r="K66" i="16" s="1"/>
  <c r="K60" i="16"/>
  <c r="K76" i="16"/>
  <c r="K68" i="16"/>
  <c r="K61" i="16"/>
  <c r="K62" i="16" s="1"/>
  <c r="K77" i="16"/>
  <c r="K78" i="16" s="1"/>
  <c r="K69" i="16"/>
  <c r="K70" i="16" s="1"/>
  <c r="K53" i="16"/>
  <c r="K54" i="16" s="1"/>
  <c r="K72" i="16"/>
  <c r="K56" i="16"/>
  <c r="K52" i="16"/>
  <c r="K64" i="16"/>
  <c r="K57" i="16"/>
  <c r="K58" i="16" s="1"/>
  <c r="Q60" i="16"/>
  <c r="Q52" i="16"/>
  <c r="Q61" i="16"/>
  <c r="Q62" i="16" s="1"/>
  <c r="Q53" i="16"/>
  <c r="Q54" i="16" s="1"/>
  <c r="Q21" i="16"/>
  <c r="Q22" i="16" s="1"/>
  <c r="Q13" i="16"/>
  <c r="Q14" i="16" s="1"/>
  <c r="O93" i="16"/>
  <c r="O94" i="16" s="1"/>
  <c r="O84" i="16"/>
  <c r="O92" i="16"/>
  <c r="O85" i="16"/>
  <c r="O86" i="16" s="1"/>
  <c r="O80" i="16"/>
  <c r="O76" i="16"/>
  <c r="O72" i="16"/>
  <c r="O68" i="16"/>
  <c r="O64" i="16"/>
  <c r="O60" i="16"/>
  <c r="O52" i="16"/>
  <c r="O81" i="16"/>
  <c r="O82" i="16" s="1"/>
  <c r="O73" i="16"/>
  <c r="O74" i="16" s="1"/>
  <c r="O65" i="16"/>
  <c r="O66" i="16" s="1"/>
  <c r="O61" i="16"/>
  <c r="O62" i="16" s="1"/>
  <c r="O77" i="16"/>
  <c r="O78" i="16" s="1"/>
  <c r="O69" i="16"/>
  <c r="O70" i="16" s="1"/>
  <c r="O53" i="16"/>
  <c r="O54" i="16" s="1"/>
  <c r="O45" i="16"/>
  <c r="O46" i="16" s="1"/>
  <c r="O41" i="16"/>
  <c r="O42" i="16" s="1"/>
  <c r="O33" i="16"/>
  <c r="O34" i="16" s="1"/>
  <c r="O25" i="16"/>
  <c r="O26" i="16" s="1"/>
  <c r="O13" i="16"/>
  <c r="O14" i="16" s="1"/>
  <c r="I45" i="16"/>
  <c r="I46" i="16" s="1"/>
  <c r="I37" i="16"/>
  <c r="I38" i="16" s="1"/>
  <c r="I49" i="16"/>
  <c r="I50" i="16" s="1"/>
  <c r="I41" i="16"/>
  <c r="I42" i="16" s="1"/>
  <c r="K41" i="16"/>
  <c r="K42" i="16" s="1"/>
  <c r="K49" i="16"/>
  <c r="K50" i="16" s="1"/>
  <c r="K45" i="16"/>
  <c r="K46" i="16" s="1"/>
  <c r="K37" i="16"/>
  <c r="K38" i="16" s="1"/>
  <c r="Q45" i="16"/>
  <c r="Q46" i="16" s="1"/>
  <c r="Q49" i="16"/>
  <c r="Q50" i="16" s="1"/>
  <c r="Q41" i="16"/>
  <c r="Q42" i="16" s="1"/>
  <c r="M45" i="16"/>
  <c r="M46" i="16" s="1"/>
  <c r="M37" i="16"/>
  <c r="M38" i="16" s="1"/>
  <c r="M41" i="16"/>
  <c r="M42" i="16" s="1"/>
  <c r="M49" i="16"/>
  <c r="M50" i="16" s="1"/>
  <c r="G37" i="16"/>
  <c r="G38" i="16" s="1"/>
  <c r="H49" i="16"/>
  <c r="H50" i="16" s="1"/>
  <c r="H45" i="16"/>
  <c r="H46" i="16" s="1"/>
  <c r="H41" i="16"/>
  <c r="H42" i="16" s="1"/>
  <c r="P45" i="16"/>
  <c r="P46" i="16" s="1"/>
  <c r="P41" i="16"/>
  <c r="P42" i="16" s="1"/>
  <c r="R37" i="16"/>
  <c r="R38" i="16" s="1"/>
  <c r="O49" i="16"/>
  <c r="O50" i="16" s="1"/>
  <c r="O37" i="16"/>
  <c r="O38" i="16" s="1"/>
  <c r="F41" i="16"/>
  <c r="F42" i="16" s="1"/>
  <c r="F45" i="16"/>
  <c r="F46" i="16" s="1"/>
  <c r="E49" i="16"/>
  <c r="E50" i="16" s="1"/>
  <c r="E37" i="16"/>
  <c r="E38" i="16" s="1"/>
  <c r="C37" i="16"/>
  <c r="C45" i="16"/>
  <c r="C49" i="16"/>
  <c r="C41" i="16"/>
  <c r="R21" i="16"/>
  <c r="R22" i="16" s="1"/>
  <c r="R17" i="16"/>
  <c r="R18" i="16" s="1"/>
  <c r="R25" i="16"/>
  <c r="R26" i="16" s="1"/>
  <c r="C33" i="16"/>
  <c r="C29" i="16"/>
  <c r="C30" i="16" s="1"/>
  <c r="C21" i="16"/>
  <c r="C22" i="16" s="1"/>
  <c r="C25" i="16"/>
  <c r="C26" i="16" s="1"/>
  <c r="E25" i="16"/>
  <c r="E26" i="16" s="1"/>
  <c r="E21" i="16"/>
  <c r="E22" i="16" s="1"/>
  <c r="E29" i="16"/>
  <c r="E30" i="16" s="1"/>
  <c r="E33" i="16"/>
  <c r="E34" i="16" s="1"/>
  <c r="F17" i="16"/>
  <c r="F18" i="16" s="1"/>
  <c r="P33" i="16"/>
  <c r="P34" i="16" s="1"/>
  <c r="P25" i="16"/>
  <c r="P26" i="16" s="1"/>
  <c r="M25" i="16"/>
  <c r="M26" i="16" s="1"/>
  <c r="M21" i="16"/>
  <c r="M22" i="16" s="1"/>
  <c r="M17" i="16"/>
  <c r="M18" i="16" s="1"/>
  <c r="M33" i="16"/>
  <c r="M34" i="16" s="1"/>
  <c r="G21" i="16"/>
  <c r="G22" i="16" s="1"/>
  <c r="G17" i="16"/>
  <c r="G18" i="16" s="1"/>
  <c r="G33" i="16"/>
  <c r="G34" i="16" s="1"/>
  <c r="G29" i="16"/>
  <c r="G30" i="16" s="1"/>
  <c r="G25" i="16"/>
  <c r="G26" i="16" s="1"/>
  <c r="I25" i="16"/>
  <c r="I26" i="16" s="1"/>
  <c r="I21" i="16"/>
  <c r="I22" i="16" s="1"/>
  <c r="I17" i="16"/>
  <c r="I18" i="16" s="1"/>
  <c r="I33" i="16"/>
  <c r="I34" i="16" s="1"/>
  <c r="I29" i="16"/>
  <c r="I30" i="16" s="1"/>
  <c r="K33" i="16"/>
  <c r="K34" i="16" s="1"/>
  <c r="K29" i="16"/>
  <c r="K30" i="16" s="1"/>
  <c r="K21" i="16"/>
  <c r="K22" i="16" s="1"/>
  <c r="K25" i="16"/>
  <c r="K26" i="16" s="1"/>
  <c r="K17" i="16"/>
  <c r="K18" i="16" s="1"/>
  <c r="Q33" i="16"/>
  <c r="Q34" i="16" s="1"/>
  <c r="Q29" i="16"/>
  <c r="Q30" i="16" s="1"/>
  <c r="O21" i="16"/>
  <c r="O22" i="16" s="1"/>
  <c r="O17" i="16"/>
  <c r="O18" i="16" s="1"/>
  <c r="O29" i="16"/>
  <c r="O30" i="16" s="1"/>
  <c r="D13" i="16"/>
  <c r="D14" i="16" s="1"/>
  <c r="G13" i="16"/>
  <c r="G14" i="16" s="1"/>
  <c r="R13" i="16"/>
  <c r="R14" i="16" s="1"/>
  <c r="E13" i="16"/>
  <c r="E14" i="16" s="1"/>
  <c r="P13" i="16"/>
  <c r="P14" i="16" s="1"/>
  <c r="M13" i="16"/>
  <c r="M14" i="16" s="1"/>
  <c r="I13" i="16"/>
  <c r="I14" i="16" s="1"/>
  <c r="K13" i="16"/>
  <c r="K14" i="16" s="1"/>
  <c r="C8" i="16"/>
  <c r="C12" i="16"/>
  <c r="C20" i="16"/>
  <c r="C28" i="16"/>
  <c r="C36" i="16"/>
  <c r="C44" i="16"/>
  <c r="C16" i="16"/>
  <c r="C24" i="16"/>
  <c r="C32" i="16"/>
  <c r="C40" i="16"/>
  <c r="O40" i="16"/>
  <c r="O32" i="16"/>
  <c r="O12" i="16"/>
  <c r="O20" i="16"/>
  <c r="O28" i="16"/>
  <c r="O36" i="16"/>
  <c r="O44" i="16"/>
  <c r="O16" i="16"/>
  <c r="O24" i="16"/>
  <c r="O48" i="16"/>
  <c r="C48" i="16"/>
  <c r="M36" i="16"/>
  <c r="M28" i="16"/>
  <c r="M20" i="16"/>
  <c r="M24" i="16"/>
  <c r="M40" i="16"/>
  <c r="M12" i="16"/>
  <c r="M44" i="16"/>
  <c r="M16" i="16"/>
  <c r="M32" i="16"/>
  <c r="M48" i="16"/>
  <c r="Q20" i="16"/>
  <c r="Q16" i="16"/>
  <c r="Q12" i="16"/>
  <c r="Q28" i="16"/>
  <c r="Q36" i="16"/>
  <c r="Q44" i="16"/>
  <c r="Q24" i="16"/>
  <c r="Q32" i="16"/>
  <c r="Q40" i="16"/>
  <c r="Q48" i="16"/>
  <c r="E48" i="16"/>
  <c r="E40" i="16"/>
  <c r="E20" i="16"/>
  <c r="E36" i="16"/>
  <c r="E16" i="16"/>
  <c r="E32" i="16"/>
  <c r="E28" i="16"/>
  <c r="E44" i="16"/>
  <c r="E24" i="16"/>
  <c r="I20" i="16"/>
  <c r="I12" i="16"/>
  <c r="I28" i="16"/>
  <c r="I32" i="16"/>
  <c r="I48" i="16"/>
  <c r="I44" i="16"/>
  <c r="I36" i="16"/>
  <c r="I24" i="16"/>
  <c r="I40" i="16"/>
  <c r="I16" i="16"/>
  <c r="K24" i="16"/>
  <c r="K12" i="16"/>
  <c r="K28" i="16"/>
  <c r="K44" i="16"/>
  <c r="K36" i="16"/>
  <c r="K16" i="16"/>
  <c r="K32" i="16"/>
  <c r="K48" i="16"/>
  <c r="K20" i="16"/>
  <c r="K40" i="16"/>
  <c r="G20" i="16"/>
  <c r="G24" i="16"/>
  <c r="G32" i="16"/>
  <c r="G36" i="16"/>
  <c r="G40" i="16"/>
  <c r="G48" i="16"/>
  <c r="G16" i="16"/>
  <c r="G12" i="16"/>
  <c r="G44" i="16"/>
  <c r="G28" i="16"/>
  <c r="AJ95" i="16" l="1"/>
  <c r="AJ47" i="16"/>
  <c r="AB47" i="16"/>
  <c r="AB71" i="16"/>
  <c r="AB95" i="16"/>
  <c r="AB87" i="16"/>
  <c r="S71" i="16"/>
  <c r="C90" i="16"/>
  <c r="AK90" i="16" s="1"/>
  <c r="AK89" i="16"/>
  <c r="S95" i="16"/>
  <c r="C98" i="16"/>
  <c r="AK98" i="16" s="1"/>
  <c r="AK97" i="16"/>
  <c r="C54" i="16"/>
  <c r="AK54" i="16" s="1"/>
  <c r="AK53" i="16"/>
  <c r="C58" i="16"/>
  <c r="AK58" i="16" s="1"/>
  <c r="AK57" i="16"/>
  <c r="S47" i="16"/>
  <c r="C70" i="16"/>
  <c r="AK70" i="16" s="1"/>
  <c r="AK69" i="16"/>
  <c r="C82" i="16"/>
  <c r="AK82" i="16" s="1"/>
  <c r="AK81" i="16"/>
  <c r="C94" i="16"/>
  <c r="AK94" i="16" s="1"/>
  <c r="AK93" i="16"/>
  <c r="C78" i="16"/>
  <c r="AK78" i="16" s="1"/>
  <c r="AK77" i="16"/>
  <c r="C86" i="16"/>
  <c r="AK86" i="16" s="1"/>
  <c r="AK85" i="16"/>
  <c r="AK61" i="16"/>
  <c r="C62" i="16"/>
  <c r="AK62" i="16" s="1"/>
  <c r="C74" i="16"/>
  <c r="AK74" i="16" s="1"/>
  <c r="AK73" i="16"/>
  <c r="C66" i="16"/>
  <c r="AK66" i="16" s="1"/>
  <c r="AK65" i="16"/>
  <c r="S87" i="16"/>
  <c r="AL87" i="16" s="1"/>
  <c r="C50" i="16"/>
  <c r="AK50" i="16" s="1"/>
  <c r="AK49" i="16"/>
  <c r="C38" i="16"/>
  <c r="AK38" i="16" s="1"/>
  <c r="AK37" i="16"/>
  <c r="C42" i="16"/>
  <c r="AK42" i="16" s="1"/>
  <c r="AK41" i="16"/>
  <c r="C46" i="16"/>
  <c r="AK46" i="16" s="1"/>
  <c r="AK45" i="16"/>
  <c r="C34" i="16"/>
  <c r="AK34" i="16" s="1"/>
  <c r="AK33" i="16"/>
  <c r="AK29" i="16"/>
  <c r="AK30" i="16"/>
  <c r="AK17" i="16"/>
  <c r="AK18" i="16"/>
  <c r="AK21" i="16"/>
  <c r="AK13" i="16"/>
  <c r="AK22" i="16"/>
  <c r="AK25" i="16"/>
  <c r="AK26" i="16"/>
  <c r="AK14" i="16"/>
  <c r="AJ11" i="16"/>
  <c r="AG11" i="16"/>
  <c r="AB11" i="16"/>
  <c r="AB51" i="16"/>
  <c r="AG51" i="16"/>
  <c r="AJ15" i="16"/>
  <c r="AJ51" i="16"/>
  <c r="AJ35" i="16"/>
  <c r="AJ55" i="16"/>
  <c r="AJ31" i="16"/>
  <c r="AB35" i="16"/>
  <c r="AG35" i="16"/>
  <c r="AJ67" i="16"/>
  <c r="AJ23" i="16"/>
  <c r="AJ27" i="16"/>
  <c r="AG27" i="16"/>
  <c r="AB27" i="16"/>
  <c r="S67" i="16"/>
  <c r="S23" i="16"/>
  <c r="S27" i="16"/>
  <c r="S35" i="16"/>
  <c r="AJ91" i="16"/>
  <c r="AJ59" i="16"/>
  <c r="AJ79" i="16"/>
  <c r="AJ83" i="16"/>
  <c r="AJ39" i="16"/>
  <c r="AJ19" i="16"/>
  <c r="AG91" i="16"/>
  <c r="AB91" i="16"/>
  <c r="S15" i="16"/>
  <c r="AJ75" i="16"/>
  <c r="AJ63" i="16"/>
  <c r="AJ43" i="16"/>
  <c r="AG19" i="16"/>
  <c r="AG79" i="16"/>
  <c r="AG63" i="16"/>
  <c r="AG83" i="16"/>
  <c r="AG31" i="16"/>
  <c r="AG43" i="16"/>
  <c r="AG23" i="16"/>
  <c r="AG67" i="16"/>
  <c r="AG39" i="16"/>
  <c r="AG15" i="16"/>
  <c r="AG75" i="16"/>
  <c r="AG55" i="16"/>
  <c r="AG59" i="16"/>
  <c r="AB23" i="16"/>
  <c r="AB79" i="16"/>
  <c r="AB39" i="16"/>
  <c r="AB67" i="16"/>
  <c r="AB31" i="16"/>
  <c r="AB63" i="16"/>
  <c r="AB55" i="16"/>
  <c r="AB15" i="16"/>
  <c r="AB19" i="16"/>
  <c r="AB83" i="16"/>
  <c r="AB75" i="16"/>
  <c r="AB59" i="16"/>
  <c r="AB43" i="16"/>
  <c r="S63" i="16"/>
  <c r="S11" i="16"/>
  <c r="S51" i="16"/>
  <c r="S19" i="16"/>
  <c r="S31" i="16"/>
  <c r="S75" i="16"/>
  <c r="S91" i="16"/>
  <c r="S39" i="16"/>
  <c r="S83" i="16"/>
  <c r="S79" i="16"/>
  <c r="S43" i="16"/>
  <c r="S59" i="16"/>
  <c r="S55" i="16"/>
  <c r="AL47" i="16" l="1"/>
  <c r="AL71" i="16"/>
  <c r="AL95" i="16"/>
  <c r="AL39" i="16"/>
  <c r="AL35" i="16"/>
  <c r="AL11" i="16"/>
  <c r="AL51" i="16"/>
  <c r="AL31" i="16"/>
  <c r="AL67" i="16"/>
  <c r="AL55" i="16"/>
  <c r="AL79" i="16"/>
  <c r="AL59" i="16"/>
  <c r="AL27" i="16"/>
  <c r="AL43" i="16"/>
  <c r="AL83" i="16"/>
  <c r="AL15" i="16"/>
  <c r="AL63" i="16"/>
  <c r="AL23" i="16"/>
  <c r="AL19" i="16"/>
  <c r="AL91" i="16"/>
  <c r="AL75" i="16"/>
  <c r="AK71" i="16" l="1"/>
  <c r="A88" i="16"/>
  <c r="A71" i="16"/>
  <c r="AK95" i="16"/>
  <c r="A95" i="16"/>
  <c r="A87" i="16"/>
  <c r="A96" i="16"/>
  <c r="AK47" i="16"/>
  <c r="A47" i="16"/>
  <c r="A92" i="16"/>
  <c r="A84" i="16"/>
  <c r="AK87" i="16"/>
  <c r="A56" i="16"/>
  <c r="A80" i="16"/>
  <c r="A76" i="16"/>
  <c r="A60" i="16"/>
  <c r="A68" i="16"/>
  <c r="A72" i="16"/>
  <c r="A64" i="16"/>
  <c r="A52" i="16"/>
  <c r="A12" i="16"/>
  <c r="A59" i="16"/>
  <c r="A91" i="16"/>
  <c r="A19" i="16"/>
  <c r="A23" i="16"/>
  <c r="A79" i="16"/>
  <c r="A63" i="16"/>
  <c r="A55" i="16"/>
  <c r="A67" i="16"/>
  <c r="A31" i="16"/>
  <c r="A43" i="16"/>
  <c r="A51" i="16"/>
  <c r="A39" i="16"/>
  <c r="A15" i="16"/>
  <c r="A48" i="16"/>
  <c r="A32" i="16"/>
  <c r="A16" i="16"/>
  <c r="A44" i="16"/>
  <c r="A83" i="16"/>
  <c r="A28" i="16"/>
  <c r="A40" i="16"/>
  <c r="A24" i="16"/>
  <c r="A36" i="16"/>
  <c r="A20" i="16"/>
  <c r="A75" i="16"/>
  <c r="A27" i="16"/>
  <c r="A11" i="16"/>
  <c r="A35" i="16"/>
  <c r="AK43" i="16"/>
  <c r="AK51" i="16"/>
  <c r="AK44" i="16"/>
  <c r="AK40" i="16"/>
  <c r="AK36" i="16"/>
  <c r="AK20" i="16"/>
  <c r="AK32" i="16"/>
  <c r="AK28" i="16"/>
  <c r="AK24" i="16"/>
  <c r="AK48" i="16"/>
  <c r="AK16" i="16"/>
  <c r="AK83" i="16"/>
  <c r="AK31" i="16"/>
  <c r="AK75" i="16"/>
  <c r="AK27" i="16"/>
  <c r="AK11" i="16"/>
  <c r="AK91" i="16"/>
  <c r="AK59" i="16"/>
  <c r="AK35" i="16"/>
  <c r="AK19" i="16"/>
  <c r="AK23" i="16"/>
  <c r="AK79" i="16"/>
  <c r="AK39" i="16"/>
  <c r="AK55" i="16"/>
  <c r="AK63" i="16"/>
  <c r="AK15" i="16"/>
  <c r="AK67" i="16"/>
</calcChain>
</file>

<file path=xl/sharedStrings.xml><?xml version="1.0" encoding="utf-8"?>
<sst xmlns="http://schemas.openxmlformats.org/spreadsheetml/2006/main" count="163" uniqueCount="86">
  <si>
    <t>RONDE 1</t>
  </si>
  <si>
    <t>RONDE 2</t>
  </si>
  <si>
    <t>RONDE 3</t>
  </si>
  <si>
    <t>TOTAL</t>
  </si>
  <si>
    <t>Points pour les victoires</t>
  </si>
  <si>
    <t>Points pour les prédictions exactes du nombre de parties</t>
  </si>
  <si>
    <t>Points pour les prédictions exactes des équipes</t>
  </si>
  <si>
    <t>#</t>
  </si>
  <si>
    <t>OUEST</t>
  </si>
  <si>
    <t>EST</t>
  </si>
  <si>
    <t>R4</t>
  </si>
  <si>
    <t>NOM</t>
  </si>
  <si>
    <t>Sous-total - RONDE 1</t>
  </si>
  <si>
    <t>Sous-total - RONDE 2</t>
  </si>
  <si>
    <t>Sous-total - RONDE 3</t>
  </si>
  <si>
    <t>Sous-total - RONDE 4</t>
  </si>
  <si>
    <t>SYSTÈME DE POINTAGE</t>
  </si>
  <si>
    <t>RONDES</t>
  </si>
  <si>
    <t>Prix d'inscription</t>
  </si>
  <si>
    <t>Total</t>
  </si>
  <si>
    <t>Nb. Participants</t>
  </si>
  <si>
    <t>1ère place</t>
  </si>
  <si>
    <t>2e place</t>
  </si>
  <si>
    <t>4e place</t>
  </si>
  <si>
    <t>BOURSES</t>
  </si>
  <si>
    <t>3e place</t>
  </si>
  <si>
    <t>INFORMATIONS</t>
  </si>
  <si>
    <t>A1</t>
  </si>
  <si>
    <t>A2</t>
  </si>
  <si>
    <t>A3</t>
  </si>
  <si>
    <t>M1</t>
  </si>
  <si>
    <t>M2</t>
  </si>
  <si>
    <t>M3</t>
  </si>
  <si>
    <t>P1</t>
  </si>
  <si>
    <t>P2</t>
  </si>
  <si>
    <t>P3</t>
  </si>
  <si>
    <t>C1</t>
  </si>
  <si>
    <t>C2</t>
  </si>
  <si>
    <t>C3</t>
  </si>
  <si>
    <t>TAMPA BAY</t>
  </si>
  <si>
    <t>BOSTON</t>
  </si>
  <si>
    <t>TORONTO</t>
  </si>
  <si>
    <t>WASHINGTON</t>
  </si>
  <si>
    <t>PITTSBURGH</t>
  </si>
  <si>
    <t>NASHVILLE</t>
  </si>
  <si>
    <t>COLORADO</t>
  </si>
  <si>
    <t>WINNIPEG</t>
  </si>
  <si>
    <t>VEGAS</t>
  </si>
  <si>
    <t>SAN JOSE</t>
  </si>
  <si>
    <t xml:space="preserve">Résultats complets disponibles à l'adresse suivante : </t>
  </si>
  <si>
    <t>https://staker4.github.io/pool/laval.pdf</t>
  </si>
  <si>
    <t>ÉCART</t>
  </si>
  <si>
    <t>Prédiction équipe</t>
  </si>
  <si>
    <t>Prédiciton nb matchs</t>
  </si>
  <si>
    <t>WC2</t>
  </si>
  <si>
    <t>COLUMBUS</t>
  </si>
  <si>
    <t>WC1</t>
  </si>
  <si>
    <t>CAROLINE</t>
  </si>
  <si>
    <t>NEW YORK I.</t>
  </si>
  <si>
    <t>CALGARY</t>
  </si>
  <si>
    <t>ST-LOUIS</t>
  </si>
  <si>
    <t>DALLAS</t>
  </si>
  <si>
    <t>Alex Levac</t>
  </si>
  <si>
    <t>Audry Darveau</t>
  </si>
  <si>
    <t>Daniel Boucher</t>
  </si>
  <si>
    <t>Daniel Darveau</t>
  </si>
  <si>
    <t>France Boileau</t>
  </si>
  <si>
    <t>Guylaine Fortin</t>
  </si>
  <si>
    <t>Julien Belvisi</t>
  </si>
  <si>
    <t>Michel Cusson</t>
  </si>
  <si>
    <t>Olivier Paris</t>
  </si>
  <si>
    <t>Pierre Daoust</t>
  </si>
  <si>
    <t>Pierre Trépanier</t>
  </si>
  <si>
    <t>Raymond Tiefengraber</t>
  </si>
  <si>
    <t>Thanh Vinh Nguyen</t>
  </si>
  <si>
    <t>Daniel Amyot</t>
  </si>
  <si>
    <t>Frédéric Lacerte</t>
  </si>
  <si>
    <t>Matias Fajardo</t>
  </si>
  <si>
    <t>Michel Boulianne</t>
  </si>
  <si>
    <t>Michel Guérin</t>
  </si>
  <si>
    <t>Marc Longpré</t>
  </si>
  <si>
    <t>Simon Corbeil</t>
  </si>
  <si>
    <t>Denis Desjardins</t>
  </si>
  <si>
    <t>Jean-Christophe Pichot</t>
  </si>
  <si>
    <t xml:space="preserve">Bracket : </t>
  </si>
  <si>
    <t>https://staker4.github.io/pool/bracket.pdf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</si>
</sst>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 #,##0.00_)\ &quot;$&quot;_ ;_ * \(#,##0.00\)\ &quot;$&quot;_ ;_ * &quot;-&quot;??_)\ &quot;$&quot;_ ;_ @_ "/>
    <numFmt numFmtId="43" formatCode="_ * #,##0.00_)\ _$_ ;_ * \(#,##0.00\)\ _$_ ;_ * &quot;-&quot;??_)\ _$_ ;_ @_ "/>
    <numFmt numFmtId="164" formatCode="_ * #,##0.00_)\ [$€-1]_ ;_ * \(#,##0.00\)\ [$€-1]_ ;_ * &quot;-&quot;??_)\ [$€-1]_ "/>
    <numFmt numFmtId="165" formatCode="_ * #,##0_)\ &quot;$&quot;_ ;_ * \(#,##0\)\ &quot;$&quot;_ ;_ * &quot;-&quot;??_)\ &quot;$&quot;_ ;_ @_ "/>
    <numFmt numFmtId="166" formatCode="_ * #,##0_)\ _$_ ;_ * \(#,##0\)\ _$_ ;_ * &quot;-&quot;??_)\ _$_ ;_ @_ "/>
  </numFmts>
  <fonts count="21" x14ac:knownFonts="1">
    <font>
      <sz val="10"/>
      <name val="Arial"/>
    </font>
    <font>
      <sz val="10"/>
      <name val="Arial"/>
      <family val="2"/>
    </font>
    <font>
      <sz val="8"/>
      <name val="Arial"/>
      <family val="2"/>
    </font>
    <font>
      <sz val="10"/>
      <name val="Arial"/>
      <family val="2"/>
    </font>
    <font>
      <i/>
      <sz val="10"/>
      <name val="Arial"/>
      <family val="2"/>
    </font>
    <font>
      <i/>
      <sz val="8"/>
      <name val="Arial"/>
      <family val="2"/>
    </font>
    <font>
      <b/>
      <sz val="10"/>
      <color indexed="9"/>
      <name val="Arial"/>
      <family val="2"/>
    </font>
    <font>
      <b/>
      <i/>
      <sz val="10"/>
      <name val="Arial"/>
      <family val="2"/>
    </font>
    <font>
      <u/>
      <sz val="10"/>
      <color indexed="12"/>
      <name val="Arial"/>
      <family val="2"/>
    </font>
    <font>
      <b/>
      <sz val="8"/>
      <name val="Arial"/>
      <family val="2"/>
    </font>
    <font>
      <i/>
      <sz val="10"/>
      <name val="Arial"/>
      <family val="2"/>
    </font>
    <font>
      <b/>
      <sz val="10"/>
      <name val="Arial"/>
      <family val="2"/>
    </font>
    <font>
      <sz val="10"/>
      <name val="Arial"/>
      <family val="2"/>
    </font>
    <font>
      <sz val="8"/>
      <name val="Arial"/>
      <family val="2"/>
    </font>
    <font>
      <b/>
      <i/>
      <sz val="8"/>
      <name val="Arial"/>
      <family val="2"/>
    </font>
    <font>
      <u/>
      <sz val="10"/>
      <color indexed="12"/>
      <name val="Arial"/>
      <family val="2"/>
    </font>
    <font>
      <sz val="8"/>
      <name val="Arial"/>
      <family val="2"/>
    </font>
    <font>
      <sz val="10"/>
      <name val="Arial"/>
      <family val="2"/>
    </font>
    <font>
      <b/>
      <sz val="8"/>
      <color rgb="FFFF0000"/>
      <name val="Arial"/>
      <family val="2"/>
    </font>
    <font>
      <b/>
      <i/>
      <sz val="8"/>
      <color rgb="FFFF0000"/>
      <name val="Arial"/>
      <family val="2"/>
    </font>
    <font>
      <sz val="8"/>
      <color rgb="FFFF0000"/>
      <name val="Arial"/>
      <family val="2"/>
    </font>
  </fonts>
  <fills count="9">
    <fill>
      <patternFill patternType="none"/>
    </fill>
    <fill>
      <patternFill patternType="gray125"/>
    </fill>
    <fill>
      <patternFill patternType="solid">
        <fgColor indexed="53"/>
        <bgColor indexed="64"/>
      </patternFill>
    </fill>
    <fill>
      <patternFill patternType="solid">
        <fgColor indexed="22"/>
        <bgColor indexed="64"/>
      </patternFill>
    </fill>
    <fill>
      <patternFill patternType="solid">
        <fgColor indexed="13"/>
        <bgColor indexed="64"/>
      </patternFill>
    </fill>
    <fill>
      <patternFill patternType="solid">
        <fgColor indexed="15"/>
        <bgColor indexed="64"/>
      </patternFill>
    </fill>
    <fill>
      <patternFill patternType="solid">
        <fgColor indexed="8"/>
        <bgColor indexed="64"/>
      </patternFill>
    </fill>
    <fill>
      <patternFill patternType="solid">
        <fgColor rgb="FFFFFF00"/>
        <bgColor indexed="64"/>
      </patternFill>
    </fill>
    <fill>
      <patternFill patternType="solid">
        <fgColor theme="0" tint="-0.14999847407452621"/>
        <bgColor indexed="64"/>
      </patternFill>
    </fill>
  </fills>
  <borders count="111">
    <border>
      <left/>
      <right/>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thick">
        <color indexed="64"/>
      </right>
      <top/>
      <bottom/>
      <diagonal/>
    </border>
    <border>
      <left style="medium">
        <color indexed="64"/>
      </left>
      <right style="thick">
        <color indexed="64"/>
      </right>
      <top/>
      <bottom style="medium">
        <color indexed="64"/>
      </bottom>
      <diagonal/>
    </border>
    <border>
      <left/>
      <right style="thick">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Dashed">
        <color indexed="64"/>
      </left>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Dashed">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Dashed">
        <color indexed="64"/>
      </left>
      <right/>
      <top style="thin">
        <color indexed="64"/>
      </top>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Dashed">
        <color indexed="64"/>
      </left>
      <right style="thin">
        <color indexed="64"/>
      </right>
      <top style="thin">
        <color indexed="64"/>
      </top>
      <bottom style="medium">
        <color indexed="64"/>
      </bottom>
      <diagonal/>
    </border>
    <border>
      <left style="mediumDashed">
        <color indexed="64"/>
      </left>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mediumDashed">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double">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thin">
        <color indexed="64"/>
      </left>
      <right style="double">
        <color indexed="64"/>
      </right>
      <top style="medium">
        <color indexed="64"/>
      </top>
      <bottom style="double">
        <color indexed="64"/>
      </bottom>
      <diagonal/>
    </border>
    <border>
      <left/>
      <right style="thin">
        <color indexed="64"/>
      </right>
      <top style="medium">
        <color indexed="64"/>
      </top>
      <bottom style="double">
        <color indexed="64"/>
      </bottom>
      <diagonal/>
    </border>
    <border>
      <left style="mediumDashed">
        <color indexed="64"/>
      </left>
      <right style="thin">
        <color indexed="64"/>
      </right>
      <top style="medium">
        <color indexed="64"/>
      </top>
      <bottom style="double">
        <color indexed="64"/>
      </bottom>
      <diagonal/>
    </border>
    <border>
      <left style="medium">
        <color indexed="64"/>
      </left>
      <right/>
      <top style="medium">
        <color indexed="64"/>
      </top>
      <bottom style="double">
        <color indexed="64"/>
      </bottom>
      <diagonal/>
    </border>
    <border>
      <left style="mediumDashed">
        <color indexed="64"/>
      </left>
      <right style="medium">
        <color indexed="64"/>
      </right>
      <top style="medium">
        <color indexed="64"/>
      </top>
      <bottom style="double">
        <color indexed="64"/>
      </bottom>
      <diagonal/>
    </border>
    <border>
      <left style="mediumDashed">
        <color indexed="64"/>
      </left>
      <right style="medium">
        <color indexed="64"/>
      </right>
      <top/>
      <bottom style="thin">
        <color indexed="64"/>
      </bottom>
      <diagonal/>
    </border>
    <border>
      <left style="mediumDashed">
        <color indexed="64"/>
      </left>
      <right style="medium">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double">
        <color indexed="64"/>
      </top>
      <bottom/>
      <diagonal/>
    </border>
    <border>
      <left/>
      <right style="double">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Dashed">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Dashed">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right style="medium">
        <color indexed="64"/>
      </right>
      <top/>
      <bottom style="double">
        <color indexed="64"/>
      </bottom>
      <diagonal/>
    </border>
    <border>
      <left style="mediumDashed">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medium">
        <color indexed="64"/>
      </left>
      <right style="medium">
        <color indexed="64"/>
      </right>
      <top/>
      <bottom style="double">
        <color indexed="64"/>
      </bottom>
      <diagonal/>
    </border>
    <border>
      <left style="medium">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double">
        <color indexed="64"/>
      </right>
      <top/>
      <bottom/>
      <diagonal/>
    </border>
    <border>
      <left style="double">
        <color indexed="64"/>
      </left>
      <right/>
      <top/>
      <bottom/>
      <diagonal/>
    </border>
    <border>
      <left/>
      <right style="mediumDashed">
        <color indexed="64"/>
      </right>
      <top/>
      <bottom/>
      <diagonal/>
    </border>
    <border>
      <left style="mediumDashed">
        <color indexed="64"/>
      </left>
      <right/>
      <top/>
      <bottom/>
      <diagonal/>
    </border>
    <border>
      <left style="medium">
        <color indexed="64"/>
      </left>
      <right style="thin">
        <color indexed="64"/>
      </right>
      <top/>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mediumDashed">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Dashed">
        <color indexed="64"/>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0" fontId="8" fillId="0" borderId="0" applyNumberFormat="0" applyFill="0" applyBorder="0" applyAlignment="0" applyProtection="0">
      <alignment vertical="top"/>
      <protection locked="0"/>
    </xf>
    <xf numFmtId="43" fontId="1" fillId="0" borderId="0" applyFont="0" applyFill="0" applyBorder="0" applyAlignment="0" applyProtection="0"/>
    <xf numFmtId="44" fontId="1" fillId="0" borderId="0" applyFont="0" applyFill="0" applyBorder="0" applyAlignment="0" applyProtection="0"/>
  </cellStyleXfs>
  <cellXfs count="316">
    <xf numFmtId="0" fontId="0" fillId="0" borderId="0" xfId="0"/>
    <xf numFmtId="0" fontId="3" fillId="0" borderId="0" xfId="0" applyFont="1"/>
    <xf numFmtId="0" fontId="0" fillId="0" borderId="0" xfId="0" applyAlignment="1">
      <alignment horizontal="center"/>
    </xf>
    <xf numFmtId="0" fontId="0" fillId="0" borderId="1" xfId="0" applyBorder="1"/>
    <xf numFmtId="0" fontId="0" fillId="0" borderId="0" xfId="0"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0" borderId="8" xfId="0" applyBorder="1"/>
    <xf numFmtId="0" fontId="0" fillId="0" borderId="10" xfId="0" applyBorder="1"/>
    <xf numFmtId="0" fontId="0" fillId="0" borderId="11" xfId="0" applyBorder="1"/>
    <xf numFmtId="0" fontId="0" fillId="0" borderId="12" xfId="0" applyBorder="1"/>
    <xf numFmtId="0" fontId="0" fillId="0" borderId="0" xfId="0" applyFill="1"/>
    <xf numFmtId="0" fontId="0" fillId="0" borderId="0" xfId="0" applyFill="1" applyBorder="1"/>
    <xf numFmtId="0" fontId="0" fillId="0" borderId="0" xfId="0" applyFill="1" applyAlignment="1">
      <alignment horizontal="center"/>
    </xf>
    <xf numFmtId="0" fontId="0" fillId="0" borderId="13" xfId="0" applyBorder="1"/>
    <xf numFmtId="0" fontId="7" fillId="3" borderId="14" xfId="0" applyFont="1" applyFill="1" applyBorder="1" applyAlignment="1">
      <alignment horizontal="center"/>
    </xf>
    <xf numFmtId="0" fontId="7" fillId="3" borderId="15" xfId="0" applyFont="1" applyFill="1" applyBorder="1" applyAlignment="1">
      <alignment horizontal="center"/>
    </xf>
    <xf numFmtId="0" fontId="0" fillId="0" borderId="16" xfId="0" applyBorder="1"/>
    <xf numFmtId="0" fontId="0" fillId="0" borderId="17" xfId="0" applyBorder="1"/>
    <xf numFmtId="0" fontId="11" fillId="3" borderId="19" xfId="0" applyFont="1" applyFill="1" applyBorder="1" applyAlignment="1">
      <alignment horizontal="center"/>
    </xf>
    <xf numFmtId="0" fontId="10" fillId="0" borderId="6" xfId="0" applyFont="1" applyBorder="1" applyAlignment="1"/>
    <xf numFmtId="0" fontId="2" fillId="0" borderId="0" xfId="0" applyFont="1"/>
    <xf numFmtId="0" fontId="0" fillId="0" borderId="0" xfId="0" applyAlignment="1"/>
    <xf numFmtId="0" fontId="0" fillId="0" borderId="0" xfId="0" applyAlignment="1">
      <alignment horizontal="left"/>
    </xf>
    <xf numFmtId="0" fontId="10" fillId="0" borderId="0" xfId="0" applyFont="1" applyBorder="1" applyAlignment="1"/>
    <xf numFmtId="0" fontId="11" fillId="0" borderId="0" xfId="0" applyFont="1"/>
    <xf numFmtId="0" fontId="11" fillId="0" borderId="0" xfId="0" applyFont="1" applyBorder="1"/>
    <xf numFmtId="0" fontId="11" fillId="3" borderId="2" xfId="0" applyFont="1" applyFill="1" applyBorder="1"/>
    <xf numFmtId="0" fontId="11" fillId="0" borderId="18" xfId="0" applyFont="1" applyBorder="1"/>
    <xf numFmtId="0" fontId="11" fillId="0" borderId="7" xfId="0" applyFont="1" applyBorder="1"/>
    <xf numFmtId="165" fontId="1" fillId="0" borderId="16" xfId="4" applyNumberFormat="1" applyBorder="1"/>
    <xf numFmtId="0" fontId="13" fillId="0" borderId="0" xfId="0" applyFont="1" applyBorder="1"/>
    <xf numFmtId="0" fontId="9" fillId="0" borderId="0" xfId="0" applyFont="1" applyBorder="1"/>
    <xf numFmtId="0" fontId="13" fillId="0" borderId="0" xfId="0" applyFont="1"/>
    <xf numFmtId="0" fontId="14" fillId="0" borderId="37" xfId="0" applyFont="1" applyBorder="1"/>
    <xf numFmtId="0" fontId="12" fillId="0" borderId="0" xfId="2" applyNumberFormat="1" applyFont="1" applyAlignment="1" applyProtection="1"/>
    <xf numFmtId="0" fontId="14" fillId="0" borderId="42" xfId="0" applyFont="1" applyBorder="1" applyAlignment="1">
      <alignment horizontal="right"/>
    </xf>
    <xf numFmtId="0" fontId="4" fillId="0" borderId="0" xfId="0" applyFont="1"/>
    <xf numFmtId="0" fontId="2" fillId="0" borderId="24" xfId="0" applyFont="1" applyFill="1" applyBorder="1" applyAlignment="1">
      <alignment horizontal="center"/>
    </xf>
    <xf numFmtId="0" fontId="2" fillId="0" borderId="25" xfId="0" applyFont="1" applyFill="1" applyBorder="1" applyAlignment="1">
      <alignment horizontal="center"/>
    </xf>
    <xf numFmtId="0" fontId="2" fillId="0" borderId="22" xfId="0" applyFont="1" applyFill="1" applyBorder="1" applyAlignment="1">
      <alignment horizontal="center"/>
    </xf>
    <xf numFmtId="0" fontId="2" fillId="0" borderId="23" xfId="0" applyFont="1" applyFill="1" applyBorder="1" applyAlignment="1">
      <alignment horizontal="center"/>
    </xf>
    <xf numFmtId="0" fontId="2" fillId="0" borderId="27" xfId="0" applyFont="1" applyFill="1" applyBorder="1" applyAlignment="1">
      <alignment horizontal="center"/>
    </xf>
    <xf numFmtId="0" fontId="2" fillId="0" borderId="26" xfId="0" applyFont="1" applyFill="1" applyBorder="1" applyAlignment="1">
      <alignment horizontal="center"/>
    </xf>
    <xf numFmtId="0" fontId="2" fillId="0" borderId="16" xfId="0" applyFont="1" applyFill="1" applyBorder="1" applyAlignment="1">
      <alignment horizontal="center"/>
    </xf>
    <xf numFmtId="0" fontId="3" fillId="0" borderId="0" xfId="0" applyFont="1" applyFill="1"/>
    <xf numFmtId="0" fontId="3" fillId="0" borderId="0" xfId="0" applyFont="1" applyFill="1" applyBorder="1"/>
    <xf numFmtId="0" fontId="3" fillId="0" borderId="0" xfId="0" applyFont="1" applyAlignment="1">
      <alignment horizontal="center"/>
    </xf>
    <xf numFmtId="0" fontId="3" fillId="0" borderId="0" xfId="0" applyFont="1" applyFill="1" applyAlignment="1">
      <alignment horizontal="center"/>
    </xf>
    <xf numFmtId="0" fontId="0" fillId="0" borderId="3" xfId="0" applyBorder="1"/>
    <xf numFmtId="0" fontId="11" fillId="3" borderId="48" xfId="0" applyFont="1" applyFill="1" applyBorder="1" applyAlignment="1">
      <alignment horizontal="center"/>
    </xf>
    <xf numFmtId="0" fontId="2" fillId="0" borderId="58" xfId="0" applyFont="1" applyFill="1" applyBorder="1" applyAlignment="1">
      <alignment horizontal="center"/>
    </xf>
    <xf numFmtId="0" fontId="2" fillId="0" borderId="59" xfId="0" applyFont="1" applyFill="1" applyBorder="1" applyAlignment="1">
      <alignment horizontal="center"/>
    </xf>
    <xf numFmtId="0" fontId="2" fillId="0" borderId="65" xfId="0" applyFont="1" applyFill="1" applyBorder="1" applyAlignment="1"/>
    <xf numFmtId="0" fontId="2" fillId="0" borderId="66" xfId="0" applyFont="1" applyFill="1" applyBorder="1" applyAlignment="1"/>
    <xf numFmtId="0" fontId="11" fillId="0" borderId="3" xfId="0" applyFont="1" applyBorder="1"/>
    <xf numFmtId="1" fontId="5" fillId="0" borderId="68" xfId="0" applyNumberFormat="1" applyFont="1" applyBorder="1" applyAlignment="1">
      <alignment horizontal="center"/>
    </xf>
    <xf numFmtId="1" fontId="5" fillId="0" borderId="69" xfId="0" applyNumberFormat="1" applyFont="1" applyBorder="1" applyAlignment="1">
      <alignment horizontal="center"/>
    </xf>
    <xf numFmtId="1" fontId="5" fillId="0" borderId="70" xfId="0" applyNumberFormat="1" applyFont="1" applyBorder="1" applyAlignment="1">
      <alignment horizontal="center"/>
    </xf>
    <xf numFmtId="1" fontId="5" fillId="0" borderId="71" xfId="0" applyNumberFormat="1" applyFont="1" applyBorder="1" applyAlignment="1">
      <alignment horizontal="center"/>
    </xf>
    <xf numFmtId="1" fontId="5" fillId="0" borderId="4" xfId="0" applyNumberFormat="1" applyFont="1" applyBorder="1" applyAlignment="1">
      <alignment horizontal="center"/>
    </xf>
    <xf numFmtId="1" fontId="5" fillId="0" borderId="72" xfId="0" applyNumberFormat="1" applyFont="1" applyBorder="1" applyAlignment="1">
      <alignment horizontal="center"/>
    </xf>
    <xf numFmtId="1" fontId="5" fillId="0" borderId="73" xfId="0" applyNumberFormat="1" applyFont="1" applyBorder="1" applyAlignment="1">
      <alignment horizontal="center"/>
    </xf>
    <xf numFmtId="0" fontId="10" fillId="0" borderId="3" xfId="0" applyFont="1" applyBorder="1"/>
    <xf numFmtId="0" fontId="4" fillId="3" borderId="13" xfId="0" applyFont="1" applyFill="1" applyBorder="1" applyAlignment="1">
      <alignment horizontal="center"/>
    </xf>
    <xf numFmtId="0" fontId="6" fillId="6" borderId="13" xfId="0" applyFont="1" applyFill="1" applyBorder="1" applyAlignment="1">
      <alignment horizontal="center"/>
    </xf>
    <xf numFmtId="0" fontId="2" fillId="0" borderId="9" xfId="0" applyFont="1" applyFill="1" applyBorder="1" applyAlignment="1"/>
    <xf numFmtId="0" fontId="2" fillId="0" borderId="91" xfId="0" applyFont="1" applyFill="1" applyBorder="1" applyAlignment="1"/>
    <xf numFmtId="0" fontId="2" fillId="0" borderId="92" xfId="0" applyFont="1" applyFill="1" applyBorder="1" applyAlignment="1"/>
    <xf numFmtId="0" fontId="2" fillId="0" borderId="93" xfId="0" applyFont="1" applyFill="1" applyBorder="1" applyAlignment="1"/>
    <xf numFmtId="0" fontId="2" fillId="0" borderId="94" xfId="0" applyFont="1" applyFill="1" applyBorder="1" applyAlignment="1"/>
    <xf numFmtId="0" fontId="2" fillId="0" borderId="5" xfId="0" applyFont="1" applyFill="1" applyBorder="1" applyAlignment="1"/>
    <xf numFmtId="0" fontId="1" fillId="0" borderId="13" xfId="0" applyFont="1" applyFill="1" applyBorder="1" applyAlignment="1">
      <alignment horizontal="center"/>
    </xf>
    <xf numFmtId="0" fontId="1" fillId="0" borderId="13" xfId="0" quotePrefix="1" applyFont="1" applyFill="1" applyBorder="1" applyAlignment="1">
      <alignment horizontal="center"/>
    </xf>
    <xf numFmtId="0" fontId="1" fillId="0" borderId="13" xfId="0" applyFont="1" applyFill="1" applyBorder="1"/>
    <xf numFmtId="0" fontId="1" fillId="0" borderId="74" xfId="0" applyFont="1" applyFill="1" applyBorder="1" applyAlignment="1">
      <alignment vertical="center"/>
    </xf>
    <xf numFmtId="0" fontId="2" fillId="0" borderId="49" xfId="0" applyFont="1" applyFill="1" applyBorder="1" applyAlignment="1"/>
    <xf numFmtId="0" fontId="1" fillId="0" borderId="0" xfId="0" applyFont="1"/>
    <xf numFmtId="0" fontId="1" fillId="0" borderId="0" xfId="0" applyFont="1" applyFill="1" applyAlignment="1">
      <alignment horizontal="center"/>
    </xf>
    <xf numFmtId="0" fontId="1" fillId="0" borderId="0" xfId="0" applyFont="1" applyFill="1" applyBorder="1"/>
    <xf numFmtId="0" fontId="1" fillId="0" borderId="0" xfId="0" applyFont="1" applyAlignment="1">
      <alignment horizontal="center"/>
    </xf>
    <xf numFmtId="0" fontId="1" fillId="0" borderId="0" xfId="0" applyFont="1" applyFill="1" applyBorder="1" applyAlignment="1">
      <alignment horizontal="center"/>
    </xf>
    <xf numFmtId="0" fontId="1" fillId="0" borderId="0" xfId="0" applyFont="1" applyFill="1" applyBorder="1" applyAlignment="1"/>
    <xf numFmtId="0" fontId="1" fillId="0" borderId="0" xfId="0" applyFont="1" applyFill="1"/>
    <xf numFmtId="0" fontId="1" fillId="0" borderId="0" xfId="0" applyFont="1" applyBorder="1"/>
    <xf numFmtId="0" fontId="1" fillId="0" borderId="8" xfId="0" applyFont="1" applyBorder="1"/>
    <xf numFmtId="0" fontId="1" fillId="2" borderId="3" xfId="0" applyFont="1" applyFill="1" applyBorder="1"/>
    <xf numFmtId="0" fontId="1" fillId="2" borderId="8" xfId="0" applyFont="1" applyFill="1" applyBorder="1"/>
    <xf numFmtId="0" fontId="1" fillId="0" borderId="3" xfId="0" applyFont="1" applyBorder="1"/>
    <xf numFmtId="0" fontId="1" fillId="0" borderId="46" xfId="0" applyFont="1" applyFill="1" applyBorder="1" applyAlignment="1">
      <alignment vertical="center"/>
    </xf>
    <xf numFmtId="0" fontId="11" fillId="0" borderId="95" xfId="0" applyFont="1" applyFill="1" applyBorder="1" applyAlignment="1">
      <alignment horizontal="right" vertical="center"/>
    </xf>
    <xf numFmtId="0" fontId="2" fillId="0" borderId="48" xfId="0" applyFont="1" applyFill="1" applyBorder="1" applyAlignment="1">
      <alignment horizontal="center"/>
    </xf>
    <xf numFmtId="1" fontId="5" fillId="0" borderId="0" xfId="0" applyNumberFormat="1" applyFont="1" applyBorder="1" applyAlignment="1">
      <alignment horizontal="center"/>
    </xf>
    <xf numFmtId="0" fontId="2" fillId="0" borderId="97" xfId="0" applyFont="1" applyFill="1" applyBorder="1" applyAlignment="1">
      <alignment horizontal="center"/>
    </xf>
    <xf numFmtId="0" fontId="11" fillId="0" borderId="23" xfId="0" applyFont="1" applyFill="1" applyBorder="1" applyAlignment="1">
      <alignment horizontal="center" vertical="center" textRotation="90"/>
    </xf>
    <xf numFmtId="0" fontId="11" fillId="0" borderId="25" xfId="0" applyFont="1" applyFill="1" applyBorder="1" applyAlignment="1">
      <alignment horizontal="center" vertical="center" textRotation="90"/>
    </xf>
    <xf numFmtId="0" fontId="11" fillId="0" borderId="26" xfId="0" applyFont="1" applyFill="1" applyBorder="1" applyAlignment="1">
      <alignment horizontal="center" vertical="center" textRotation="90"/>
    </xf>
    <xf numFmtId="0" fontId="11" fillId="0" borderId="28" xfId="0" applyFont="1" applyFill="1" applyBorder="1" applyAlignment="1">
      <alignment horizontal="center" vertical="center" textRotation="90"/>
    </xf>
    <xf numFmtId="0" fontId="14" fillId="4" borderId="47" xfId="0" applyFont="1" applyFill="1" applyBorder="1" applyAlignment="1">
      <alignment horizontal="center"/>
    </xf>
    <xf numFmtId="0" fontId="9" fillId="0" borderId="47" xfId="0" applyFont="1" applyFill="1" applyBorder="1" applyAlignment="1">
      <alignment horizontal="center"/>
    </xf>
    <xf numFmtId="0" fontId="2" fillId="0" borderId="0" xfId="0" applyFont="1" applyFill="1"/>
    <xf numFmtId="0" fontId="1" fillId="0" borderId="62" xfId="0" applyFont="1" applyFill="1" applyBorder="1" applyAlignment="1">
      <alignment horizontal="center" vertical="center"/>
    </xf>
    <xf numFmtId="0" fontId="11" fillId="0" borderId="100" xfId="0" applyFont="1" applyFill="1" applyBorder="1" applyAlignment="1">
      <alignment horizontal="center" vertical="center" textRotation="90"/>
    </xf>
    <xf numFmtId="0" fontId="11" fillId="0" borderId="102" xfId="0" applyFont="1" applyFill="1" applyBorder="1" applyAlignment="1">
      <alignment horizontal="center" vertical="center" textRotation="90"/>
    </xf>
    <xf numFmtId="0" fontId="11" fillId="0" borderId="103" xfId="0" applyFont="1" applyFill="1" applyBorder="1" applyAlignment="1">
      <alignment horizontal="center" vertical="center" textRotation="90"/>
    </xf>
    <xf numFmtId="0" fontId="11" fillId="0" borderId="104" xfId="0" applyFont="1" applyFill="1" applyBorder="1" applyAlignment="1">
      <alignment horizontal="center" vertical="center" textRotation="90"/>
    </xf>
    <xf numFmtId="0" fontId="18" fillId="0" borderId="92" xfId="0" applyFont="1" applyFill="1" applyBorder="1" applyAlignment="1"/>
    <xf numFmtId="0" fontId="11" fillId="0" borderId="44" xfId="0" applyFont="1" applyFill="1" applyBorder="1" applyAlignment="1">
      <alignment horizontal="right" vertical="center"/>
    </xf>
    <xf numFmtId="0" fontId="5" fillId="0" borderId="9" xfId="0" applyFont="1" applyFill="1" applyBorder="1" applyAlignment="1"/>
    <xf numFmtId="0" fontId="19" fillId="0" borderId="92" xfId="0" applyFont="1" applyFill="1" applyBorder="1" applyAlignment="1"/>
    <xf numFmtId="0" fontId="5" fillId="0" borderId="92" xfId="0" applyFont="1" applyFill="1" applyBorder="1" applyAlignment="1"/>
    <xf numFmtId="0" fontId="11" fillId="0" borderId="63" xfId="0" applyFont="1" applyFill="1" applyBorder="1" applyAlignment="1">
      <alignment horizontal="center" vertical="center"/>
    </xf>
    <xf numFmtId="0" fontId="11" fillId="0" borderId="62" xfId="0" applyFont="1" applyFill="1" applyBorder="1" applyAlignment="1">
      <alignment horizontal="center" vertical="center"/>
    </xf>
    <xf numFmtId="0" fontId="11" fillId="0" borderId="67" xfId="0" applyFont="1" applyFill="1" applyBorder="1" applyAlignment="1">
      <alignment horizontal="center" vertical="center"/>
    </xf>
    <xf numFmtId="0" fontId="1" fillId="0" borderId="105" xfId="0" applyFont="1" applyFill="1" applyBorder="1" applyAlignment="1">
      <alignment vertical="center"/>
    </xf>
    <xf numFmtId="0" fontId="14" fillId="0" borderId="92" xfId="0" applyFont="1" applyFill="1" applyBorder="1" applyAlignment="1"/>
    <xf numFmtId="0" fontId="9" fillId="0" borderId="9" xfId="0" applyFont="1" applyFill="1" applyBorder="1" applyAlignment="1"/>
    <xf numFmtId="0" fontId="9" fillId="0" borderId="91" xfId="0" applyFont="1" applyFill="1" applyBorder="1" applyAlignment="1"/>
    <xf numFmtId="0" fontId="9" fillId="0" borderId="92" xfId="0" applyFont="1" applyFill="1" applyBorder="1" applyAlignment="1"/>
    <xf numFmtId="0" fontId="9" fillId="0" borderId="93" xfId="0" applyFont="1" applyFill="1" applyBorder="1" applyAlignment="1"/>
    <xf numFmtId="0" fontId="9" fillId="0" borderId="94" xfId="0" applyFont="1" applyFill="1" applyBorder="1" applyAlignment="1"/>
    <xf numFmtId="0" fontId="9" fillId="0" borderId="5" xfId="0" applyFont="1" applyFill="1" applyBorder="1" applyAlignment="1"/>
    <xf numFmtId="0" fontId="9" fillId="0" borderId="66" xfId="0" applyFont="1" applyFill="1" applyBorder="1" applyAlignment="1"/>
    <xf numFmtId="0" fontId="14" fillId="0" borderId="9" xfId="0" applyFont="1" applyFill="1" applyBorder="1" applyAlignment="1"/>
    <xf numFmtId="0" fontId="7" fillId="0" borderId="67" xfId="0" applyFont="1" applyFill="1" applyBorder="1" applyAlignment="1">
      <alignment horizontal="center" vertical="center"/>
    </xf>
    <xf numFmtId="0" fontId="5" fillId="0" borderId="0" xfId="0" applyFont="1" applyFill="1"/>
    <xf numFmtId="0" fontId="5" fillId="0" borderId="91" xfId="0" applyFont="1" applyFill="1" applyBorder="1" applyAlignment="1"/>
    <xf numFmtId="0" fontId="5" fillId="0" borderId="93" xfId="0" applyFont="1" applyFill="1" applyBorder="1" applyAlignment="1"/>
    <xf numFmtId="0" fontId="5" fillId="0" borderId="94" xfId="0" applyFont="1" applyFill="1" applyBorder="1" applyAlignment="1"/>
    <xf numFmtId="0" fontId="5" fillId="0" borderId="5" xfId="0" applyFont="1" applyFill="1" applyBorder="1" applyAlignment="1"/>
    <xf numFmtId="0" fontId="7" fillId="0" borderId="63" xfId="0" applyFont="1" applyFill="1" applyBorder="1" applyAlignment="1">
      <alignment horizontal="center" vertical="center"/>
    </xf>
    <xf numFmtId="0" fontId="4" fillId="0" borderId="0" xfId="0" applyFont="1" applyFill="1"/>
    <xf numFmtId="0" fontId="14" fillId="0" borderId="91" xfId="0" applyFont="1" applyFill="1" applyBorder="1" applyAlignment="1"/>
    <xf numFmtId="0" fontId="14" fillId="0" borderId="93" xfId="0" applyFont="1" applyFill="1" applyBorder="1" applyAlignment="1"/>
    <xf numFmtId="0" fontId="14" fillId="0" borderId="94" xfId="0" applyFont="1" applyFill="1" applyBorder="1" applyAlignment="1"/>
    <xf numFmtId="0" fontId="14" fillId="0" borderId="5" xfId="0" applyFont="1" applyFill="1" applyBorder="1" applyAlignment="1"/>
    <xf numFmtId="0" fontId="7" fillId="0" borderId="96" xfId="0" applyFont="1" applyFill="1" applyBorder="1" applyAlignment="1">
      <alignment horizontal="center" vertical="center"/>
    </xf>
    <xf numFmtId="0" fontId="11" fillId="0" borderId="22" xfId="0" applyFont="1" applyFill="1" applyBorder="1" applyAlignment="1">
      <alignment horizontal="center" vertical="center" textRotation="90"/>
    </xf>
    <xf numFmtId="0" fontId="11" fillId="0" borderId="99" xfId="0" applyFont="1" applyFill="1" applyBorder="1" applyAlignment="1">
      <alignment horizontal="center" vertical="center" textRotation="90"/>
    </xf>
    <xf numFmtId="0" fontId="9" fillId="0" borderId="30" xfId="0" applyFont="1" applyFill="1" applyBorder="1" applyAlignment="1">
      <alignment horizontal="center" textRotation="90"/>
    </xf>
    <xf numFmtId="0" fontId="11" fillId="0" borderId="24" xfId="0" applyFont="1" applyFill="1" applyBorder="1" applyAlignment="1">
      <alignment horizontal="center" vertical="center" textRotation="90"/>
    </xf>
    <xf numFmtId="0" fontId="11" fillId="0" borderId="101" xfId="0" applyFont="1" applyFill="1" applyBorder="1" applyAlignment="1">
      <alignment horizontal="center" vertical="center" textRotation="90"/>
    </xf>
    <xf numFmtId="0" fontId="9" fillId="0" borderId="31" xfId="0" applyFont="1" applyFill="1" applyBorder="1" applyAlignment="1">
      <alignment horizontal="center" textRotation="90"/>
    </xf>
    <xf numFmtId="0" fontId="9" fillId="0" borderId="32" xfId="0" applyFont="1" applyFill="1" applyBorder="1" applyAlignment="1">
      <alignment horizontal="center" textRotation="90"/>
    </xf>
    <xf numFmtId="0" fontId="9" fillId="0" borderId="33" xfId="0" applyFont="1" applyFill="1" applyBorder="1" applyAlignment="1">
      <alignment horizontal="center" textRotation="90"/>
    </xf>
    <xf numFmtId="0" fontId="9" fillId="0" borderId="34" xfId="0" applyFont="1" applyFill="1" applyBorder="1" applyAlignment="1">
      <alignment horizontal="center" textRotation="90"/>
    </xf>
    <xf numFmtId="0" fontId="9" fillId="0" borderId="35" xfId="0" applyFont="1" applyFill="1" applyBorder="1" applyAlignment="1">
      <alignment horizontal="center" textRotation="90"/>
    </xf>
    <xf numFmtId="0" fontId="9" fillId="0" borderId="42" xfId="0" applyFont="1" applyFill="1" applyBorder="1" applyAlignment="1">
      <alignment horizontal="center" vertical="center" textRotation="90"/>
    </xf>
    <xf numFmtId="0" fontId="9" fillId="0" borderId="51" xfId="0" applyFont="1" applyFill="1" applyBorder="1" applyAlignment="1">
      <alignment horizontal="center" vertical="center" textRotation="90"/>
    </xf>
    <xf numFmtId="0" fontId="9" fillId="0" borderId="52" xfId="0" applyFont="1" applyFill="1" applyBorder="1" applyAlignment="1">
      <alignment horizontal="center" vertical="center" textRotation="90"/>
    </xf>
    <xf numFmtId="0" fontId="9" fillId="0" borderId="53" xfId="0" applyFont="1" applyFill="1" applyBorder="1" applyAlignment="1">
      <alignment horizontal="center" vertical="center" textRotation="90"/>
    </xf>
    <xf numFmtId="0" fontId="9" fillId="0" borderId="54" xfId="0" applyFont="1" applyFill="1" applyBorder="1" applyAlignment="1">
      <alignment horizontal="center" vertical="center" textRotation="90"/>
    </xf>
    <xf numFmtId="0" fontId="9" fillId="0" borderId="55" xfId="0" applyFont="1" applyFill="1" applyBorder="1" applyAlignment="1">
      <alignment horizontal="center" vertical="center" textRotation="90"/>
    </xf>
    <xf numFmtId="0" fontId="9" fillId="0" borderId="37" xfId="0" applyFont="1" applyFill="1" applyBorder="1" applyAlignment="1">
      <alignment horizontal="center" vertical="center" textRotation="90"/>
    </xf>
    <xf numFmtId="0" fontId="11" fillId="0" borderId="49" xfId="0" applyFont="1" applyFill="1" applyBorder="1" applyAlignment="1">
      <alignment horizontal="center" vertical="center" textRotation="90"/>
    </xf>
    <xf numFmtId="0" fontId="9" fillId="0" borderId="50" xfId="0" applyFont="1" applyFill="1" applyBorder="1" applyAlignment="1">
      <alignment horizontal="center" textRotation="90"/>
    </xf>
    <xf numFmtId="0" fontId="9" fillId="0" borderId="36" xfId="0" applyFont="1" applyFill="1" applyBorder="1" applyAlignment="1">
      <alignment horizontal="center" textRotation="90"/>
    </xf>
    <xf numFmtId="0" fontId="9" fillId="0" borderId="56" xfId="0" applyFont="1" applyFill="1" applyBorder="1" applyAlignment="1">
      <alignment horizontal="center" vertical="center" textRotation="90"/>
    </xf>
    <xf numFmtId="0" fontId="9" fillId="0" borderId="57" xfId="0" applyFont="1" applyFill="1" applyBorder="1" applyAlignment="1">
      <alignment horizontal="center" vertical="center" textRotation="90"/>
    </xf>
    <xf numFmtId="0" fontId="11" fillId="0" borderId="106" xfId="0" applyFont="1" applyFill="1" applyBorder="1" applyAlignment="1">
      <alignment horizontal="center" vertical="center"/>
    </xf>
    <xf numFmtId="0" fontId="11" fillId="0" borderId="98" xfId="0" applyFont="1" applyFill="1" applyBorder="1" applyAlignment="1">
      <alignment horizontal="center" vertical="center"/>
    </xf>
    <xf numFmtId="1" fontId="5" fillId="0" borderId="33" xfId="0" applyNumberFormat="1" applyFont="1" applyBorder="1" applyAlignment="1">
      <alignment horizontal="center"/>
    </xf>
    <xf numFmtId="1" fontId="5" fillId="0" borderId="34" xfId="0" applyNumberFormat="1" applyFont="1" applyBorder="1" applyAlignment="1">
      <alignment horizontal="center"/>
    </xf>
    <xf numFmtId="1" fontId="5" fillId="0" borderId="30" xfId="0" applyNumberFormat="1" applyFont="1" applyBorder="1" applyAlignment="1">
      <alignment horizontal="center"/>
    </xf>
    <xf numFmtId="1" fontId="5" fillId="0" borderId="17" xfId="0" applyNumberFormat="1" applyFont="1" applyBorder="1" applyAlignment="1">
      <alignment horizontal="center"/>
    </xf>
    <xf numFmtId="165" fontId="1" fillId="0" borderId="15" xfId="4" applyNumberFormat="1" applyBorder="1"/>
    <xf numFmtId="165" fontId="0" fillId="0" borderId="20" xfId="0" applyNumberFormat="1" applyBorder="1"/>
    <xf numFmtId="165" fontId="1" fillId="0" borderId="29" xfId="4" applyNumberFormat="1" applyBorder="1"/>
    <xf numFmtId="0" fontId="2" fillId="0" borderId="30" xfId="0" applyFont="1" applyFill="1" applyBorder="1" applyAlignment="1">
      <alignment horizontal="center"/>
    </xf>
    <xf numFmtId="0" fontId="2" fillId="0" borderId="33" xfId="0" applyFont="1" applyFill="1" applyBorder="1" applyAlignment="1">
      <alignment horizontal="center"/>
    </xf>
    <xf numFmtId="0" fontId="2" fillId="0" borderId="32" xfId="0" applyFont="1" applyFill="1" applyBorder="1" applyAlignment="1">
      <alignment horizontal="center"/>
    </xf>
    <xf numFmtId="0" fontId="2" fillId="0" borderId="34" xfId="0" applyFont="1" applyFill="1" applyBorder="1" applyAlignment="1">
      <alignment horizontal="center"/>
    </xf>
    <xf numFmtId="0" fontId="2" fillId="0" borderId="31" xfId="0" applyFont="1" applyFill="1" applyBorder="1" applyAlignment="1">
      <alignment horizontal="center"/>
    </xf>
    <xf numFmtId="0" fontId="2" fillId="0" borderId="35" xfId="0" applyFont="1" applyFill="1" applyBorder="1" applyAlignment="1">
      <alignment horizontal="center"/>
    </xf>
    <xf numFmtId="0" fontId="2" fillId="0" borderId="17" xfId="0" applyFont="1" applyFill="1" applyBorder="1" applyAlignment="1">
      <alignment horizontal="center"/>
    </xf>
    <xf numFmtId="0" fontId="11" fillId="7" borderId="24" xfId="0" applyFont="1" applyFill="1" applyBorder="1" applyAlignment="1">
      <alignment horizontal="center" vertical="center" textRotation="90"/>
    </xf>
    <xf numFmtId="0" fontId="11" fillId="7" borderId="101" xfId="0" applyFont="1" applyFill="1" applyBorder="1" applyAlignment="1">
      <alignment horizontal="center" vertical="center" textRotation="90"/>
    </xf>
    <xf numFmtId="0" fontId="9" fillId="7" borderId="32" xfId="0" applyFont="1" applyFill="1" applyBorder="1" applyAlignment="1">
      <alignment horizontal="center" textRotation="90"/>
    </xf>
    <xf numFmtId="0" fontId="9" fillId="7" borderId="52" xfId="0" applyFont="1" applyFill="1" applyBorder="1" applyAlignment="1">
      <alignment horizontal="center" vertical="center" textRotation="90"/>
    </xf>
    <xf numFmtId="0" fontId="11" fillId="7" borderId="23" xfId="0" applyFont="1" applyFill="1" applyBorder="1" applyAlignment="1">
      <alignment horizontal="center" vertical="center" textRotation="90"/>
    </xf>
    <xf numFmtId="0" fontId="11" fillId="7" borderId="100" xfId="0" applyFont="1" applyFill="1" applyBorder="1" applyAlignment="1">
      <alignment horizontal="center" vertical="center" textRotation="90"/>
    </xf>
    <xf numFmtId="0" fontId="9" fillId="7" borderId="31" xfId="0" applyFont="1" applyFill="1" applyBorder="1" applyAlignment="1">
      <alignment horizontal="center" textRotation="90"/>
    </xf>
    <xf numFmtId="0" fontId="9" fillId="7" borderId="51" xfId="0" applyFont="1" applyFill="1" applyBorder="1" applyAlignment="1">
      <alignment horizontal="center" vertical="center" textRotation="90"/>
    </xf>
    <xf numFmtId="0" fontId="11" fillId="7" borderId="25" xfId="0" applyFont="1" applyFill="1" applyBorder="1" applyAlignment="1">
      <alignment horizontal="center" vertical="center" textRotation="90"/>
    </xf>
    <xf numFmtId="0" fontId="11" fillId="7" borderId="102" xfId="0" applyFont="1" applyFill="1" applyBorder="1" applyAlignment="1">
      <alignment horizontal="center" vertical="center" textRotation="90"/>
    </xf>
    <xf numFmtId="0" fontId="9" fillId="7" borderId="33" xfId="0" applyFont="1" applyFill="1" applyBorder="1" applyAlignment="1">
      <alignment horizontal="center" textRotation="90"/>
    </xf>
    <xf numFmtId="0" fontId="9" fillId="7" borderId="53" xfId="0" applyFont="1" applyFill="1" applyBorder="1" applyAlignment="1">
      <alignment horizontal="center" vertical="center" textRotation="90"/>
    </xf>
    <xf numFmtId="0" fontId="11" fillId="7" borderId="27" xfId="0" applyFont="1" applyFill="1" applyBorder="1" applyAlignment="1">
      <alignment horizontal="center" vertical="center" textRotation="90"/>
    </xf>
    <xf numFmtId="0" fontId="11" fillId="7" borderId="103" xfId="0" applyFont="1" applyFill="1" applyBorder="1" applyAlignment="1">
      <alignment horizontal="center" vertical="center" textRotation="90"/>
    </xf>
    <xf numFmtId="0" fontId="9" fillId="7" borderId="34" xfId="0" applyFont="1" applyFill="1" applyBorder="1" applyAlignment="1">
      <alignment horizontal="center" textRotation="90"/>
    </xf>
    <xf numFmtId="0" fontId="9" fillId="7" borderId="54" xfId="0" applyFont="1" applyFill="1" applyBorder="1" applyAlignment="1">
      <alignment horizontal="center" vertical="center" textRotation="90"/>
    </xf>
    <xf numFmtId="0" fontId="14" fillId="0" borderId="24" xfId="0" applyFont="1" applyFill="1" applyBorder="1" applyAlignment="1">
      <alignment horizontal="center"/>
    </xf>
    <xf numFmtId="0" fontId="14" fillId="0" borderId="25" xfId="0" applyFont="1" applyFill="1" applyBorder="1" applyAlignment="1">
      <alignment horizontal="center"/>
    </xf>
    <xf numFmtId="1" fontId="5" fillId="0" borderId="110" xfId="0" applyNumberFormat="1" applyFont="1" applyBorder="1" applyAlignment="1">
      <alignment horizontal="center"/>
    </xf>
    <xf numFmtId="0" fontId="14" fillId="0" borderId="27" xfId="0" applyFont="1" applyFill="1" applyBorder="1" applyAlignment="1">
      <alignment horizontal="center"/>
    </xf>
    <xf numFmtId="0" fontId="11" fillId="8" borderId="44" xfId="0" applyFont="1" applyFill="1" applyBorder="1" applyAlignment="1">
      <alignment horizontal="right" vertical="center"/>
    </xf>
    <xf numFmtId="0" fontId="1" fillId="8" borderId="74" xfId="0" applyFont="1" applyFill="1" applyBorder="1" applyAlignment="1">
      <alignment vertical="center"/>
    </xf>
    <xf numFmtId="0" fontId="2" fillId="8" borderId="44" xfId="0" applyFont="1" applyFill="1" applyBorder="1" applyAlignment="1">
      <alignment horizontal="center"/>
    </xf>
    <xf numFmtId="0" fontId="2" fillId="8" borderId="39" xfId="0" applyFont="1" applyFill="1" applyBorder="1" applyAlignment="1">
      <alignment horizontal="center"/>
    </xf>
    <xf numFmtId="0" fontId="2" fillId="8" borderId="45" xfId="0" applyFont="1" applyFill="1" applyBorder="1" applyAlignment="1">
      <alignment horizontal="center"/>
    </xf>
    <xf numFmtId="0" fontId="2" fillId="8" borderId="40" xfId="0" applyFont="1" applyFill="1" applyBorder="1" applyAlignment="1">
      <alignment horizontal="center"/>
    </xf>
    <xf numFmtId="0" fontId="2" fillId="8" borderId="38" xfId="0" applyFont="1" applyFill="1" applyBorder="1" applyAlignment="1">
      <alignment horizontal="center"/>
    </xf>
    <xf numFmtId="0" fontId="2" fillId="8" borderId="41" xfId="0" applyFont="1" applyFill="1" applyBorder="1" applyAlignment="1">
      <alignment horizontal="center"/>
    </xf>
    <xf numFmtId="0" fontId="2" fillId="8" borderId="46" xfId="0" applyFont="1" applyFill="1" applyBorder="1" applyAlignment="1">
      <alignment horizontal="center"/>
    </xf>
    <xf numFmtId="0" fontId="11" fillId="8" borderId="64" xfId="0" applyFont="1" applyFill="1" applyBorder="1" applyAlignment="1">
      <alignment horizontal="center" vertical="center"/>
    </xf>
    <xf numFmtId="0" fontId="2" fillId="8" borderId="43" xfId="0" applyFont="1" applyFill="1" applyBorder="1" applyAlignment="1">
      <alignment horizontal="center"/>
    </xf>
    <xf numFmtId="0" fontId="2" fillId="8" borderId="58" xfId="0" applyFont="1" applyFill="1" applyBorder="1" applyAlignment="1">
      <alignment horizontal="center"/>
    </xf>
    <xf numFmtId="0" fontId="1" fillId="8" borderId="64" xfId="0" applyFont="1" applyFill="1" applyBorder="1" applyAlignment="1">
      <alignment horizontal="center" vertical="center"/>
    </xf>
    <xf numFmtId="0" fontId="2" fillId="8" borderId="22" xfId="0" applyFont="1" applyFill="1" applyBorder="1" applyAlignment="1">
      <alignment horizontal="center"/>
    </xf>
    <xf numFmtId="0" fontId="2" fillId="8" borderId="25" xfId="0" applyFont="1" applyFill="1" applyBorder="1" applyAlignment="1">
      <alignment horizontal="center"/>
    </xf>
    <xf numFmtId="0" fontId="14" fillId="8" borderId="24" xfId="0" applyFont="1" applyFill="1" applyBorder="1" applyAlignment="1">
      <alignment horizontal="center"/>
    </xf>
    <xf numFmtId="0" fontId="2" fillId="8" borderId="27" xfId="0" applyFont="1" applyFill="1" applyBorder="1" applyAlignment="1">
      <alignment horizontal="center"/>
    </xf>
    <xf numFmtId="0" fontId="2" fillId="8" borderId="23" xfId="0" applyFont="1" applyFill="1" applyBorder="1" applyAlignment="1">
      <alignment horizontal="center"/>
    </xf>
    <xf numFmtId="0" fontId="2" fillId="8" borderId="24" xfId="0" applyFont="1" applyFill="1" applyBorder="1" applyAlignment="1">
      <alignment horizontal="center"/>
    </xf>
    <xf numFmtId="0" fontId="2" fillId="8" borderId="26" xfId="0" applyFont="1" applyFill="1" applyBorder="1" applyAlignment="1">
      <alignment horizontal="center"/>
    </xf>
    <xf numFmtId="0" fontId="14" fillId="8" borderId="25" xfId="0" applyFont="1" applyFill="1" applyBorder="1" applyAlignment="1">
      <alignment horizontal="center"/>
    </xf>
    <xf numFmtId="0" fontId="2" fillId="8" borderId="16" xfId="0" applyFont="1" applyFill="1" applyBorder="1" applyAlignment="1">
      <alignment horizontal="center"/>
    </xf>
    <xf numFmtId="0" fontId="11" fillId="8" borderId="66" xfId="0" applyFont="1" applyFill="1" applyBorder="1" applyAlignment="1">
      <alignment horizontal="center" vertical="center"/>
    </xf>
    <xf numFmtId="0" fontId="11" fillId="8" borderId="62" xfId="0" applyFont="1" applyFill="1" applyBorder="1" applyAlignment="1">
      <alignment horizontal="center" vertical="center"/>
    </xf>
    <xf numFmtId="0" fontId="2" fillId="8" borderId="59" xfId="0" applyFont="1" applyFill="1" applyBorder="1" applyAlignment="1">
      <alignment horizontal="center"/>
    </xf>
    <xf numFmtId="0" fontId="1" fillId="8" borderId="62" xfId="0" applyFont="1" applyFill="1" applyBorder="1" applyAlignment="1">
      <alignment horizontal="center" vertical="center"/>
    </xf>
    <xf numFmtId="0" fontId="2" fillId="8" borderId="97" xfId="0" applyFont="1" applyFill="1" applyBorder="1" applyAlignment="1">
      <alignment horizontal="center"/>
    </xf>
    <xf numFmtId="0" fontId="2" fillId="8" borderId="48" xfId="0" applyFont="1" applyFill="1" applyBorder="1" applyAlignment="1">
      <alignment horizontal="center"/>
    </xf>
    <xf numFmtId="0" fontId="14" fillId="8" borderId="27" xfId="0" applyFont="1" applyFill="1" applyBorder="1" applyAlignment="1">
      <alignment horizontal="center"/>
    </xf>
    <xf numFmtId="0" fontId="11" fillId="7" borderId="22" xfId="0" applyFont="1" applyFill="1" applyBorder="1" applyAlignment="1">
      <alignment horizontal="center" vertical="center" textRotation="90"/>
    </xf>
    <xf numFmtId="0" fontId="11" fillId="7" borderId="99" xfId="0" applyFont="1" applyFill="1" applyBorder="1" applyAlignment="1">
      <alignment horizontal="center" vertical="center" textRotation="90"/>
    </xf>
    <xf numFmtId="0" fontId="9" fillId="7" borderId="30" xfId="0" applyFont="1" applyFill="1" applyBorder="1" applyAlignment="1">
      <alignment horizontal="center" textRotation="90"/>
    </xf>
    <xf numFmtId="0" fontId="9" fillId="7" borderId="42" xfId="0" applyFont="1" applyFill="1" applyBorder="1" applyAlignment="1">
      <alignment horizontal="center" vertical="center" textRotation="90"/>
    </xf>
    <xf numFmtId="0" fontId="14" fillId="8" borderId="23" xfId="0" applyFont="1" applyFill="1" applyBorder="1" applyAlignment="1">
      <alignment horizontal="center"/>
    </xf>
    <xf numFmtId="0" fontId="11" fillId="7" borderId="26" xfId="0" applyFont="1" applyFill="1" applyBorder="1" applyAlignment="1">
      <alignment horizontal="center" vertical="center" textRotation="90"/>
    </xf>
    <xf numFmtId="0" fontId="11" fillId="7" borderId="104" xfId="0" applyFont="1" applyFill="1" applyBorder="1" applyAlignment="1">
      <alignment horizontal="center" vertical="center" textRotation="90"/>
    </xf>
    <xf numFmtId="0" fontId="9" fillId="7" borderId="35" xfId="0" applyFont="1" applyFill="1" applyBorder="1" applyAlignment="1">
      <alignment horizontal="center" textRotation="90"/>
    </xf>
    <xf numFmtId="0" fontId="9" fillId="7" borderId="55" xfId="0" applyFont="1" applyFill="1" applyBorder="1" applyAlignment="1">
      <alignment horizontal="center" vertical="center" textRotation="90"/>
    </xf>
    <xf numFmtId="0" fontId="14" fillId="8" borderId="22" xfId="0" applyFont="1" applyFill="1" applyBorder="1" applyAlignment="1">
      <alignment horizontal="center"/>
    </xf>
    <xf numFmtId="0" fontId="14" fillId="0" borderId="26" xfId="0" applyFont="1" applyFill="1" applyBorder="1" applyAlignment="1">
      <alignment horizontal="center"/>
    </xf>
    <xf numFmtId="0" fontId="14" fillId="8" borderId="26" xfId="0" applyFont="1" applyFill="1" applyBorder="1" applyAlignment="1">
      <alignment horizontal="center"/>
    </xf>
    <xf numFmtId="0" fontId="14" fillId="0" borderId="23" xfId="0" applyFont="1" applyFill="1" applyBorder="1" applyAlignment="1">
      <alignment horizontal="center"/>
    </xf>
    <xf numFmtId="0" fontId="20" fillId="8" borderId="23" xfId="0" applyFont="1" applyFill="1" applyBorder="1" applyAlignment="1">
      <alignment horizontal="center"/>
    </xf>
    <xf numFmtId="0" fontId="20" fillId="0" borderId="23" xfId="0" applyFont="1" applyFill="1" applyBorder="1" applyAlignment="1">
      <alignment horizontal="center"/>
    </xf>
    <xf numFmtId="0" fontId="9" fillId="8" borderId="22" xfId="0" applyFont="1" applyFill="1" applyBorder="1" applyAlignment="1">
      <alignment horizontal="center"/>
    </xf>
    <xf numFmtId="0" fontId="9" fillId="8" borderId="25" xfId="0" applyFont="1" applyFill="1" applyBorder="1" applyAlignment="1">
      <alignment horizontal="center"/>
    </xf>
    <xf numFmtId="0" fontId="9" fillId="8" borderId="24" xfId="0" applyFont="1" applyFill="1" applyBorder="1" applyAlignment="1">
      <alignment horizontal="center"/>
    </xf>
    <xf numFmtId="0" fontId="9" fillId="8" borderId="27" xfId="0" applyFont="1" applyFill="1" applyBorder="1" applyAlignment="1">
      <alignment horizontal="center"/>
    </xf>
    <xf numFmtId="0" fontId="9" fillId="8" borderId="23" xfId="0" applyFont="1" applyFill="1" applyBorder="1" applyAlignment="1">
      <alignment horizontal="center"/>
    </xf>
    <xf numFmtId="0" fontId="9" fillId="8" borderId="26" xfId="0" applyFont="1" applyFill="1" applyBorder="1" applyAlignment="1">
      <alignment horizontal="center"/>
    </xf>
    <xf numFmtId="0" fontId="9" fillId="8" borderId="16" xfId="0" applyFont="1" applyFill="1" applyBorder="1" applyAlignment="1">
      <alignment horizontal="center"/>
    </xf>
    <xf numFmtId="0" fontId="7" fillId="0" borderId="90" xfId="0" applyFont="1" applyBorder="1" applyAlignment="1">
      <alignment horizontal="center"/>
    </xf>
    <xf numFmtId="0" fontId="7" fillId="0" borderId="79" xfId="0" applyFont="1" applyBorder="1" applyAlignment="1">
      <alignment horizontal="center"/>
    </xf>
    <xf numFmtId="0" fontId="7" fillId="0" borderId="4" xfId="0" applyFont="1" applyBorder="1" applyAlignment="1">
      <alignment horizontal="center"/>
    </xf>
    <xf numFmtId="0" fontId="7" fillId="0" borderId="3" xfId="0" applyFont="1" applyBorder="1" applyAlignment="1">
      <alignment horizontal="center"/>
    </xf>
    <xf numFmtId="0" fontId="11" fillId="3" borderId="89" xfId="0" applyFont="1" applyFill="1" applyBorder="1" applyAlignment="1">
      <alignment horizontal="center"/>
    </xf>
    <xf numFmtId="0" fontId="11" fillId="3" borderId="87" xfId="0" applyFont="1" applyFill="1" applyBorder="1" applyAlignment="1">
      <alignment horizontal="center"/>
    </xf>
    <xf numFmtId="0" fontId="11" fillId="3" borderId="61" xfId="0" applyFont="1" applyFill="1" applyBorder="1" applyAlignment="1">
      <alignment horizontal="center"/>
    </xf>
    <xf numFmtId="0" fontId="9" fillId="5" borderId="84" xfId="0" applyFont="1" applyFill="1" applyBorder="1" applyAlignment="1">
      <alignment horizontal="center" vertical="center" textRotation="90"/>
    </xf>
    <xf numFmtId="0" fontId="9" fillId="5" borderId="67" xfId="0" applyFont="1" applyFill="1" applyBorder="1" applyAlignment="1">
      <alignment horizontal="center" vertical="center" textRotation="90"/>
    </xf>
    <xf numFmtId="0" fontId="9" fillId="5" borderId="88" xfId="0" applyFont="1" applyFill="1" applyBorder="1" applyAlignment="1">
      <alignment horizontal="center" vertical="center" textRotation="90"/>
    </xf>
    <xf numFmtId="0" fontId="9" fillId="5" borderId="85" xfId="0" applyFont="1" applyFill="1" applyBorder="1" applyAlignment="1">
      <alignment horizontal="center" vertical="center" textRotation="90"/>
    </xf>
    <xf numFmtId="0" fontId="11" fillId="3" borderId="86" xfId="0" applyFont="1" applyFill="1" applyBorder="1" applyAlignment="1">
      <alignment horizontal="center"/>
    </xf>
    <xf numFmtId="0" fontId="11" fillId="3" borderId="60" xfId="0" applyFont="1" applyFill="1" applyBorder="1" applyAlignment="1">
      <alignment horizontal="center"/>
    </xf>
    <xf numFmtId="0" fontId="12" fillId="0" borderId="0" xfId="2" applyNumberFormat="1" applyFont="1" applyAlignment="1" applyProtection="1">
      <alignment horizontal="left"/>
    </xf>
    <xf numFmtId="0" fontId="15" fillId="0" borderId="0" xfId="2" applyFont="1" applyAlignment="1" applyProtection="1">
      <alignment horizontal="left"/>
    </xf>
    <xf numFmtId="0" fontId="1" fillId="0" borderId="0" xfId="2" applyNumberFormat="1" applyFont="1" applyAlignment="1" applyProtection="1">
      <alignment horizontal="right"/>
    </xf>
    <xf numFmtId="0" fontId="8" fillId="0" borderId="0" xfId="2" applyAlignment="1" applyProtection="1">
      <alignment horizontal="left"/>
    </xf>
    <xf numFmtId="0" fontId="0" fillId="0" borderId="23" xfId="0" applyBorder="1" applyAlignment="1">
      <alignment horizontal="left"/>
    </xf>
    <xf numFmtId="0" fontId="0" fillId="0" borderId="48" xfId="0" applyBorder="1" applyAlignment="1">
      <alignment horizontal="left"/>
    </xf>
    <xf numFmtId="0" fontId="0" fillId="0" borderId="27" xfId="0" applyBorder="1" applyAlignment="1">
      <alignment horizontal="left"/>
    </xf>
    <xf numFmtId="0" fontId="1" fillId="0" borderId="21" xfId="0" applyFont="1" applyBorder="1" applyAlignment="1">
      <alignment horizontal="left"/>
    </xf>
    <xf numFmtId="0" fontId="0" fillId="0" borderId="81" xfId="0" applyBorder="1" applyAlignment="1">
      <alignment horizontal="left"/>
    </xf>
    <xf numFmtId="0" fontId="0" fillId="0" borderId="82" xfId="0" applyBorder="1" applyAlignment="1">
      <alignment horizontal="left"/>
    </xf>
    <xf numFmtId="0" fontId="0" fillId="0" borderId="83" xfId="0" applyBorder="1" applyAlignment="1">
      <alignment horizontal="left"/>
    </xf>
    <xf numFmtId="0" fontId="0" fillId="0" borderId="31" xfId="0" applyBorder="1" applyAlignment="1">
      <alignment horizontal="left"/>
    </xf>
    <xf numFmtId="0" fontId="0" fillId="0" borderId="50" xfId="0" applyBorder="1" applyAlignment="1">
      <alignment horizontal="left"/>
    </xf>
    <xf numFmtId="0" fontId="0" fillId="0" borderId="34" xfId="0" applyBorder="1" applyAlignment="1">
      <alignment horizontal="left"/>
    </xf>
    <xf numFmtId="0" fontId="11" fillId="3" borderId="78" xfId="0" applyFont="1" applyFill="1" applyBorder="1" applyAlignment="1">
      <alignment horizontal="left"/>
    </xf>
    <xf numFmtId="0" fontId="11" fillId="3" borderId="79" xfId="0" applyFont="1" applyFill="1" applyBorder="1" applyAlignment="1">
      <alignment horizontal="left"/>
    </xf>
    <xf numFmtId="0" fontId="11" fillId="3" borderId="80" xfId="0" applyFont="1" applyFill="1" applyBorder="1" applyAlignment="1">
      <alignment horizontal="left"/>
    </xf>
    <xf numFmtId="166" fontId="17" fillId="0" borderId="13" xfId="3" applyNumberFormat="1" applyFont="1" applyBorder="1" applyAlignment="1">
      <alignment horizontal="center"/>
    </xf>
    <xf numFmtId="166" fontId="17" fillId="0" borderId="16" xfId="3" applyNumberFormat="1" applyFont="1" applyBorder="1" applyAlignment="1">
      <alignment horizontal="center"/>
    </xf>
    <xf numFmtId="0" fontId="0" fillId="0" borderId="22" xfId="0" applyBorder="1" applyAlignment="1">
      <alignment horizontal="left"/>
    </xf>
    <xf numFmtId="0" fontId="0" fillId="0" borderId="13" xfId="0" applyBorder="1" applyAlignment="1">
      <alignment horizontal="left"/>
    </xf>
    <xf numFmtId="0" fontId="0" fillId="0" borderId="21" xfId="0" applyBorder="1" applyAlignment="1">
      <alignment horizontal="left"/>
    </xf>
    <xf numFmtId="165" fontId="1" fillId="0" borderId="81" xfId="4" applyNumberFormat="1" applyBorder="1" applyAlignment="1">
      <alignment horizontal="center"/>
    </xf>
    <xf numFmtId="165" fontId="1" fillId="0" borderId="20" xfId="4" applyNumberFormat="1" applyBorder="1" applyAlignment="1">
      <alignment horizontal="center"/>
    </xf>
    <xf numFmtId="0" fontId="10" fillId="0" borderId="72" xfId="0" applyFont="1" applyBorder="1" applyAlignment="1">
      <alignment horizontal="center"/>
    </xf>
    <xf numFmtId="0" fontId="10" fillId="0" borderId="75" xfId="0" applyFont="1" applyBorder="1" applyAlignment="1">
      <alignment horizontal="center"/>
    </xf>
    <xf numFmtId="0" fontId="10" fillId="0" borderId="76" xfId="0" applyFont="1" applyBorder="1" applyAlignment="1">
      <alignment horizontal="center"/>
    </xf>
    <xf numFmtId="0" fontId="11" fillId="3" borderId="77" xfId="0" applyFont="1" applyFill="1" applyBorder="1" applyAlignment="1">
      <alignment horizontal="center"/>
    </xf>
    <xf numFmtId="0" fontId="11" fillId="3" borderId="14" xfId="0" applyFont="1" applyFill="1" applyBorder="1" applyAlignment="1">
      <alignment horizontal="center"/>
    </xf>
    <xf numFmtId="0" fontId="11" fillId="3" borderId="15" xfId="0" applyFont="1" applyFill="1" applyBorder="1" applyAlignment="1">
      <alignment horizontal="center"/>
    </xf>
    <xf numFmtId="0" fontId="11" fillId="3" borderId="107" xfId="0" applyFont="1" applyFill="1" applyBorder="1" applyAlignment="1">
      <alignment horizontal="center"/>
    </xf>
    <xf numFmtId="0" fontId="11" fillId="3" borderId="108" xfId="0" applyFont="1" applyFill="1" applyBorder="1" applyAlignment="1">
      <alignment horizontal="center"/>
    </xf>
    <xf numFmtId="0" fontId="11" fillId="3" borderId="109" xfId="0" applyFont="1" applyFill="1" applyBorder="1" applyAlignment="1">
      <alignment horizontal="center"/>
    </xf>
    <xf numFmtId="0" fontId="0" fillId="0" borderId="90" xfId="0" applyBorder="1" applyAlignment="1">
      <alignment horizontal="left"/>
    </xf>
    <xf numFmtId="0" fontId="0" fillId="0" borderId="79" xfId="0" applyBorder="1" applyAlignment="1">
      <alignment horizontal="left"/>
    </xf>
    <xf numFmtId="0" fontId="0" fillId="0" borderId="80" xfId="0" applyBorder="1" applyAlignment="1">
      <alignment horizontal="left"/>
    </xf>
    <xf numFmtId="0" fontId="0" fillId="0" borderId="18" xfId="0" applyBorder="1" applyAlignment="1">
      <alignment horizontal="left"/>
    </xf>
    <xf numFmtId="165" fontId="1" fillId="0" borderId="83" xfId="4" applyNumberFormat="1" applyBorder="1" applyAlignment="1">
      <alignment horizontal="center"/>
    </xf>
    <xf numFmtId="165" fontId="1" fillId="0" borderId="29" xfId="4" applyNumberFormat="1" applyBorder="1" applyAlignment="1">
      <alignment horizontal="center"/>
    </xf>
    <xf numFmtId="0" fontId="5" fillId="8" borderId="24" xfId="0" applyFont="1" applyFill="1" applyBorder="1" applyAlignment="1">
      <alignment horizontal="center"/>
    </xf>
    <xf numFmtId="0" fontId="5" fillId="8" borderId="27" xfId="0" applyFont="1" applyFill="1" applyBorder="1" applyAlignment="1">
      <alignment horizontal="center"/>
    </xf>
    <xf numFmtId="0" fontId="2" fillId="0" borderId="43" xfId="0" applyFont="1" applyFill="1" applyBorder="1" applyAlignment="1">
      <alignment horizontal="center"/>
    </xf>
    <xf numFmtId="0" fontId="2" fillId="8" borderId="18" xfId="0" applyFont="1" applyFill="1" applyBorder="1" applyAlignment="1">
      <alignment horizontal="center"/>
    </xf>
    <xf numFmtId="0" fontId="19" fillId="0" borderId="18" xfId="0" applyFont="1" applyFill="1" applyBorder="1" applyAlignment="1">
      <alignment horizontal="center"/>
    </xf>
    <xf numFmtId="0" fontId="14" fillId="8" borderId="45" xfId="0" applyFont="1" applyFill="1" applyBorder="1" applyAlignment="1">
      <alignment horizontal="center"/>
    </xf>
    <xf numFmtId="0" fontId="14" fillId="8" borderId="39" xfId="0" applyFont="1" applyFill="1" applyBorder="1" applyAlignment="1">
      <alignment horizontal="center"/>
    </xf>
    <xf numFmtId="0" fontId="14" fillId="8" borderId="44" xfId="0" applyFont="1" applyFill="1" applyBorder="1" applyAlignment="1">
      <alignment horizontal="center"/>
    </xf>
    <xf numFmtId="0" fontId="19" fillId="8" borderId="43" xfId="0" applyFont="1" applyFill="1" applyBorder="1" applyAlignment="1">
      <alignment horizontal="center"/>
    </xf>
    <xf numFmtId="0" fontId="14" fillId="8" borderId="58" xfId="0" applyFont="1" applyFill="1" applyBorder="1" applyAlignment="1">
      <alignment horizontal="center"/>
    </xf>
    <xf numFmtId="0" fontId="14" fillId="0" borderId="58" xfId="0" applyFont="1" applyFill="1" applyBorder="1" applyAlignment="1">
      <alignment horizontal="center"/>
    </xf>
    <xf numFmtId="0" fontId="14" fillId="0" borderId="59" xfId="0" applyFont="1" applyFill="1" applyBorder="1" applyAlignment="1">
      <alignment horizontal="center"/>
    </xf>
  </cellXfs>
  <cellStyles count="5">
    <cellStyle name="Euro" xfId="1"/>
    <cellStyle name="Lien hypertexte" xfId="2" builtinId="8"/>
    <cellStyle name="Milliers" xfId="3" builtinId="3"/>
    <cellStyle name="Monétaire" xfId="4" builtinId="4"/>
    <cellStyle name="Normal" xfId="0" builtinId="0"/>
  </cellStyles>
  <dxfs count="80">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00FFFF"/>
        </patternFill>
      </fill>
    </dxf>
    <dxf>
      <font>
        <color theme="1"/>
      </font>
      <fill>
        <patternFill>
          <bgColor rgb="FF00FFFF"/>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
      <font>
        <color theme="1"/>
      </font>
      <fill>
        <patternFill>
          <bgColor rgb="FFFFFF00"/>
        </patternFill>
      </fill>
    </dxf>
    <dxf>
      <font>
        <color theme="1"/>
      </font>
      <fill>
        <patternFill>
          <bgColor rgb="FF00FFFF"/>
        </patternFill>
      </fill>
    </dxf>
  </dxfs>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ker4.github.io/pool/laval.pdf" TargetMode="External"/><Relationship Id="rId1" Type="http://schemas.openxmlformats.org/officeDocument/2006/relationships/hyperlink" Target="https://staker4.github.io/pool/bracket.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07"/>
  <sheetViews>
    <sheetView tabSelected="1" topLeftCell="A4" workbookViewId="0">
      <selection activeCell="AN39" sqref="AN39"/>
    </sheetView>
  </sheetViews>
  <sheetFormatPr baseColWidth="10" defaultColWidth="11.42578125" defaultRowHeight="12.75" x14ac:dyDescent="0.2"/>
  <cols>
    <col min="1" max="1" width="5.140625" style="31" bestFit="1" customWidth="1"/>
    <col min="2" max="2" width="20.85546875" customWidth="1"/>
    <col min="3" max="4" width="3.28515625" customWidth="1"/>
    <col min="5" max="14" width="3.28515625" bestFit="1" customWidth="1"/>
    <col min="15" max="18" width="3.28515625" customWidth="1"/>
    <col min="19" max="19" width="5.7109375" customWidth="1"/>
    <col min="20" max="21" width="3.28515625" customWidth="1"/>
    <col min="22" max="27" width="3.28515625" bestFit="1" customWidth="1"/>
    <col min="28" max="28" width="5.7109375" customWidth="1"/>
    <col min="29" max="32" width="3.28515625" bestFit="1" customWidth="1"/>
    <col min="33" max="33" width="5.7109375" customWidth="1"/>
    <col min="34" max="34" width="3.28515625" customWidth="1"/>
    <col min="35" max="35" width="3.28515625" bestFit="1" customWidth="1"/>
    <col min="36" max="36" width="5.7109375" customWidth="1"/>
    <col min="37" max="37" width="7.85546875" bestFit="1" customWidth="1"/>
    <col min="38" max="38" width="7.85546875" customWidth="1"/>
  </cols>
  <sheetData>
    <row r="1" spans="1:38" x14ac:dyDescent="0.2">
      <c r="C1" s="265"/>
      <c r="D1" s="265"/>
      <c r="E1" s="265"/>
      <c r="F1" s="265"/>
      <c r="G1" s="265"/>
      <c r="H1" s="265"/>
      <c r="I1" s="265"/>
      <c r="J1" s="265"/>
      <c r="K1" s="265"/>
      <c r="L1" s="265"/>
      <c r="M1" s="265"/>
      <c r="N1" s="265"/>
      <c r="O1" s="265"/>
      <c r="P1" s="266"/>
      <c r="Q1" s="266"/>
      <c r="R1" s="266"/>
      <c r="S1" s="266"/>
      <c r="T1" s="266"/>
      <c r="U1" s="266"/>
      <c r="V1" s="266"/>
      <c r="W1" s="266"/>
      <c r="X1" s="266"/>
      <c r="Y1" s="266"/>
      <c r="Z1" s="266"/>
      <c r="AA1" s="266"/>
      <c r="AB1" s="266"/>
      <c r="AC1" s="266"/>
      <c r="AD1" s="266"/>
      <c r="AE1" s="266"/>
      <c r="AF1" s="266"/>
      <c r="AG1" s="266"/>
      <c r="AH1" s="266"/>
      <c r="AI1" s="266"/>
      <c r="AJ1" s="266"/>
    </row>
    <row r="2" spans="1:38" x14ac:dyDescent="0.2">
      <c r="A2" s="41"/>
      <c r="C2" s="267" t="s">
        <v>49</v>
      </c>
      <c r="D2" s="267"/>
      <c r="E2" s="267"/>
      <c r="F2" s="267"/>
      <c r="G2" s="267"/>
      <c r="H2" s="267"/>
      <c r="I2" s="267"/>
      <c r="J2" s="267"/>
      <c r="K2" s="267"/>
      <c r="L2" s="267"/>
      <c r="M2" s="267"/>
      <c r="N2" s="267"/>
      <c r="O2" s="267"/>
      <c r="P2" s="267"/>
      <c r="Q2" s="268" t="s">
        <v>50</v>
      </c>
      <c r="R2" s="266"/>
      <c r="S2" s="266"/>
      <c r="T2" s="266"/>
      <c r="U2" s="266"/>
      <c r="V2" s="266"/>
      <c r="W2" s="266"/>
      <c r="X2" s="266"/>
      <c r="Y2" s="266"/>
      <c r="Z2" s="266"/>
      <c r="AA2" s="266"/>
      <c r="AB2" s="266"/>
      <c r="AC2" s="266"/>
      <c r="AD2" s="266"/>
      <c r="AE2" s="266"/>
      <c r="AF2" s="266"/>
      <c r="AG2" s="266"/>
      <c r="AH2" s="266"/>
      <c r="AI2" s="266"/>
      <c r="AJ2" s="266"/>
    </row>
    <row r="3" spans="1:38" x14ac:dyDescent="0.2">
      <c r="A3" s="41"/>
      <c r="C3" s="267" t="s">
        <v>84</v>
      </c>
      <c r="D3" s="267"/>
      <c r="E3" s="267"/>
      <c r="F3" s="267"/>
      <c r="G3" s="267"/>
      <c r="H3" s="267"/>
      <c r="I3" s="267"/>
      <c r="J3" s="267"/>
      <c r="K3" s="267"/>
      <c r="L3" s="267"/>
      <c r="M3" s="267"/>
      <c r="N3" s="267"/>
      <c r="O3" s="267"/>
      <c r="P3" s="267"/>
      <c r="Q3" s="268" t="s">
        <v>85</v>
      </c>
      <c r="R3" s="266"/>
      <c r="S3" s="266"/>
      <c r="T3" s="266"/>
      <c r="U3" s="266"/>
      <c r="V3" s="266"/>
      <c r="W3" s="266"/>
      <c r="X3" s="266"/>
      <c r="Y3" s="266"/>
      <c r="Z3" s="266"/>
      <c r="AA3" s="266"/>
      <c r="AB3" s="266"/>
      <c r="AC3" s="266"/>
      <c r="AD3" s="266"/>
      <c r="AE3" s="266"/>
      <c r="AF3" s="266"/>
      <c r="AG3" s="266"/>
      <c r="AH3" s="266"/>
      <c r="AI3" s="266"/>
      <c r="AJ3" s="266"/>
    </row>
    <row r="4" spans="1:38" ht="6.95" customHeight="1" thickBot="1" x14ac:dyDescent="0.25">
      <c r="C4" s="265"/>
      <c r="D4" s="265"/>
      <c r="E4" s="265"/>
      <c r="F4" s="265"/>
      <c r="G4" s="265"/>
      <c r="H4" s="265"/>
      <c r="I4" s="265"/>
      <c r="J4" s="265"/>
      <c r="K4" s="265"/>
      <c r="L4" s="265"/>
      <c r="M4" s="265"/>
      <c r="N4" s="265"/>
      <c r="O4" s="265"/>
      <c r="P4" s="266"/>
      <c r="Q4" s="266"/>
      <c r="R4" s="266"/>
      <c r="S4" s="266"/>
      <c r="T4" s="266"/>
      <c r="U4" s="266"/>
      <c r="V4" s="266"/>
      <c r="W4" s="266"/>
      <c r="X4" s="266"/>
      <c r="Y4" s="266"/>
      <c r="Z4" s="266"/>
      <c r="AA4" s="266"/>
      <c r="AB4" s="266"/>
      <c r="AC4" s="266"/>
      <c r="AD4" s="266"/>
      <c r="AE4" s="266"/>
      <c r="AF4" s="266"/>
      <c r="AG4" s="266"/>
      <c r="AH4" s="266"/>
      <c r="AI4" s="266"/>
      <c r="AJ4" s="266"/>
    </row>
    <row r="5" spans="1:38" ht="13.5" thickBot="1" x14ac:dyDescent="0.25">
      <c r="C5" s="252" t="s">
        <v>0</v>
      </c>
      <c r="D5" s="253"/>
      <c r="E5" s="253"/>
      <c r="F5" s="253"/>
      <c r="G5" s="253"/>
      <c r="H5" s="253"/>
      <c r="I5" s="253"/>
      <c r="J5" s="253"/>
      <c r="K5" s="253"/>
      <c r="L5" s="253"/>
      <c r="M5" s="253"/>
      <c r="N5" s="253"/>
      <c r="O5" s="253"/>
      <c r="P5" s="253"/>
      <c r="Q5" s="253"/>
      <c r="R5" s="253"/>
      <c r="S5" s="254"/>
      <c r="T5" s="252" t="s">
        <v>1</v>
      </c>
      <c r="U5" s="253"/>
      <c r="V5" s="253"/>
      <c r="W5" s="253"/>
      <c r="X5" s="253"/>
      <c r="Y5" s="253"/>
      <c r="Z5" s="253"/>
      <c r="AA5" s="253"/>
      <c r="AB5" s="254"/>
      <c r="AC5" s="252" t="s">
        <v>2</v>
      </c>
      <c r="AD5" s="253"/>
      <c r="AE5" s="253"/>
      <c r="AF5" s="253"/>
      <c r="AG5" s="255"/>
      <c r="AH5" s="252" t="s">
        <v>10</v>
      </c>
      <c r="AI5" s="253"/>
      <c r="AJ5" s="254"/>
    </row>
    <row r="6" spans="1:38" ht="12.75" customHeight="1" x14ac:dyDescent="0.2">
      <c r="A6" s="32"/>
      <c r="B6" s="4"/>
      <c r="C6" s="256" t="s">
        <v>9</v>
      </c>
      <c r="D6" s="257"/>
      <c r="E6" s="257"/>
      <c r="F6" s="257"/>
      <c r="G6" s="257"/>
      <c r="H6" s="257"/>
      <c r="I6" s="257"/>
      <c r="J6" s="258"/>
      <c r="K6" s="263" t="s">
        <v>8</v>
      </c>
      <c r="L6" s="257"/>
      <c r="M6" s="257"/>
      <c r="N6" s="257"/>
      <c r="O6" s="257"/>
      <c r="P6" s="257"/>
      <c r="Q6" s="257"/>
      <c r="R6" s="258"/>
      <c r="S6" s="259" t="s">
        <v>12</v>
      </c>
      <c r="T6" s="256" t="s">
        <v>9</v>
      </c>
      <c r="U6" s="257"/>
      <c r="V6" s="257"/>
      <c r="W6" s="258"/>
      <c r="X6" s="263" t="s">
        <v>8</v>
      </c>
      <c r="Y6" s="257"/>
      <c r="Z6" s="257"/>
      <c r="AA6" s="258"/>
      <c r="AB6" s="259" t="s">
        <v>13</v>
      </c>
      <c r="AC6" s="264" t="s">
        <v>9</v>
      </c>
      <c r="AD6" s="258"/>
      <c r="AE6" s="263" t="s">
        <v>8</v>
      </c>
      <c r="AF6" s="258"/>
      <c r="AG6" s="259" t="s">
        <v>14</v>
      </c>
      <c r="AH6" s="56"/>
      <c r="AI6" s="25"/>
      <c r="AJ6" s="259" t="s">
        <v>15</v>
      </c>
      <c r="AK6" s="4"/>
    </row>
    <row r="7" spans="1:38" s="39" customFormat="1" ht="12.75" customHeight="1" x14ac:dyDescent="0.2">
      <c r="A7" s="38"/>
      <c r="B7" s="37"/>
      <c r="C7" s="143">
        <f>Résultats!$J$3</f>
        <v>0</v>
      </c>
      <c r="D7" s="185">
        <f>Résultats!$J$4</f>
        <v>4</v>
      </c>
      <c r="E7" s="181">
        <f>Résultats!$J$6</f>
        <v>4</v>
      </c>
      <c r="F7" s="101">
        <f>Résultats!$J$7</f>
        <v>3</v>
      </c>
      <c r="G7" s="146">
        <f>Résultats!$J$10</f>
        <v>3</v>
      </c>
      <c r="H7" s="189">
        <f>Résultats!$J$11</f>
        <v>4</v>
      </c>
      <c r="I7" s="181">
        <f>Résultats!$J$13</f>
        <v>4</v>
      </c>
      <c r="J7" s="100">
        <f>Résultats!$J$14</f>
        <v>0</v>
      </c>
      <c r="K7" s="102">
        <f>Résultats!$J$17</f>
        <v>1</v>
      </c>
      <c r="L7" s="185">
        <f>Résultats!$J$18</f>
        <v>4</v>
      </c>
      <c r="M7" s="146">
        <f>Résultats!$J$20</f>
        <v>2</v>
      </c>
      <c r="N7" s="189">
        <f>Résultats!$J$21</f>
        <v>4</v>
      </c>
      <c r="O7" s="146">
        <f>Résultats!$J$24</f>
        <v>2</v>
      </c>
      <c r="P7" s="189">
        <f>Résultats!$J$25</f>
        <v>4</v>
      </c>
      <c r="Q7" s="193">
        <f>Résultats!$J$27</f>
        <v>4</v>
      </c>
      <c r="R7" s="100">
        <f>Résultats!$J$28</f>
        <v>3</v>
      </c>
      <c r="S7" s="260"/>
      <c r="T7" s="230">
        <f>Résultats!$V$6</f>
        <v>4</v>
      </c>
      <c r="U7" s="100">
        <f>Résultats!$V$7</f>
        <v>2</v>
      </c>
      <c r="V7" s="146">
        <f>Résultats!$V$10</f>
        <v>0</v>
      </c>
      <c r="W7" s="185">
        <f>Résultats!$V$11</f>
        <v>4</v>
      </c>
      <c r="X7" s="235">
        <f>Résultats!$V$20</f>
        <v>4</v>
      </c>
      <c r="Y7" s="101">
        <f>Résultats!$V$21</f>
        <v>3</v>
      </c>
      <c r="Z7" s="193">
        <f>Résultats!$V$24</f>
        <v>4</v>
      </c>
      <c r="AA7" s="100">
        <f>Résultats!$V$25</f>
        <v>3</v>
      </c>
      <c r="AB7" s="260"/>
      <c r="AC7" s="193">
        <f>Résultats!$AH$8</f>
        <v>4</v>
      </c>
      <c r="AD7" s="100">
        <f>Résultats!$AH$9</f>
        <v>0</v>
      </c>
      <c r="AE7" s="102">
        <f>Résultats!$AH$22</f>
        <v>2</v>
      </c>
      <c r="AF7" s="185">
        <f>Résultats!$AH$23</f>
        <v>4</v>
      </c>
      <c r="AG7" s="260"/>
      <c r="AH7" s="160">
        <f>Résultats!$AH$15</f>
        <v>3</v>
      </c>
      <c r="AI7" s="103">
        <f>Résultats!$AH$16</f>
        <v>4</v>
      </c>
      <c r="AJ7" s="260"/>
      <c r="AK7" s="37"/>
    </row>
    <row r="8" spans="1:38" s="39" customFormat="1" ht="58.5" hidden="1" customHeight="1" x14ac:dyDescent="0.2">
      <c r="A8" s="38"/>
      <c r="B8" s="37"/>
      <c r="C8" s="144">
        <f>IF(ISBLANK($C11),0,($C$7*PT_VICTOIRE_R1)+IF($C$7=4,PT_PREDICTION_EQUIPE_R1+IF($C11=$C$7+$D$7,PT_PREDICTION_NB_PARTIES_R1,0),0))
+IF(ISBLANK($D11),0,($D$7*PT_VICTOIRE_R1)+IF($D$7=4,PT_PREDICTION_EQUIPE_R1+IF($D11=$C$7+$D$7,PT_PREDICTION_NB_PARTIES_R1,0),0))</f>
        <v>0</v>
      </c>
      <c r="D8" s="186"/>
      <c r="E8" s="182"/>
      <c r="F8" s="109"/>
      <c r="G8" s="110"/>
      <c r="H8" s="186"/>
      <c r="I8" s="182"/>
      <c r="J8" s="108"/>
      <c r="K8" s="111"/>
      <c r="L8" s="186"/>
      <c r="M8" s="147"/>
      <c r="N8" s="190"/>
      <c r="O8" s="147"/>
      <c r="P8" s="190"/>
      <c r="Q8" s="194"/>
      <c r="R8" s="108"/>
      <c r="S8" s="260"/>
      <c r="T8" s="231"/>
      <c r="U8" s="108"/>
      <c r="V8" s="147"/>
      <c r="W8" s="186"/>
      <c r="X8" s="236"/>
      <c r="Y8" s="109"/>
      <c r="Z8" s="194"/>
      <c r="AA8" s="108"/>
      <c r="AB8" s="260"/>
      <c r="AC8" s="194"/>
      <c r="AD8" s="108"/>
      <c r="AE8" s="111"/>
      <c r="AF8" s="186"/>
      <c r="AG8" s="260"/>
      <c r="AH8" s="160"/>
      <c r="AI8" s="103"/>
      <c r="AJ8" s="260"/>
      <c r="AK8" s="37"/>
    </row>
    <row r="9" spans="1:38" s="39" customFormat="1" ht="77.25" customHeight="1" thickBot="1" x14ac:dyDescent="0.25">
      <c r="A9" s="38"/>
      <c r="B9" s="37"/>
      <c r="C9" s="145" t="str">
        <f>Résultats!$B$3</f>
        <v>TAMPA BAY</v>
      </c>
      <c r="D9" s="187" t="str">
        <f>Résultats!$B$4</f>
        <v>COLUMBUS</v>
      </c>
      <c r="E9" s="183" t="str">
        <f>Résultats!$B$6</f>
        <v>BOSTON</v>
      </c>
      <c r="F9" s="150" t="str">
        <f>Résultats!$B$7</f>
        <v>TORONTO</v>
      </c>
      <c r="G9" s="151" t="str">
        <f>Résultats!$B$10</f>
        <v>WASHINGTON</v>
      </c>
      <c r="H9" s="187" t="str">
        <f>Résultats!$B$11</f>
        <v>CAROLINE</v>
      </c>
      <c r="I9" s="183" t="str">
        <f>Résultats!$B$13</f>
        <v>NEW YORK I.</v>
      </c>
      <c r="J9" s="148" t="str">
        <f>Résultats!$B$14</f>
        <v>PITTSBURGH</v>
      </c>
      <c r="K9" s="152" t="str">
        <f>Résultats!$B$17</f>
        <v>CALGARY</v>
      </c>
      <c r="L9" s="187" t="str">
        <f>Résultats!$B$18</f>
        <v>COLORADO</v>
      </c>
      <c r="M9" s="149" t="str">
        <f>Résultats!$B$20</f>
        <v>WINNIPEG</v>
      </c>
      <c r="N9" s="191" t="str">
        <f>Résultats!$B$21</f>
        <v>ST-LOUIS</v>
      </c>
      <c r="O9" s="149" t="str">
        <f>Résultats!$B$24</f>
        <v>NASHVILLE</v>
      </c>
      <c r="P9" s="191" t="str">
        <f>Résultats!$B$25</f>
        <v>DALLAS</v>
      </c>
      <c r="Q9" s="195" t="str">
        <f>Résultats!$B$27</f>
        <v>SAN JOSE</v>
      </c>
      <c r="R9" s="148" t="str">
        <f>Résultats!$B$28</f>
        <v>VEGAS</v>
      </c>
      <c r="S9" s="260"/>
      <c r="T9" s="232" t="str">
        <f>Résultats!$N$6</f>
        <v>BOSTON</v>
      </c>
      <c r="U9" s="148" t="str">
        <f>Résultats!$N$7</f>
        <v>COLUMBUS</v>
      </c>
      <c r="V9" s="149" t="str">
        <f>Résultats!$N$10</f>
        <v>NEW YORK I.</v>
      </c>
      <c r="W9" s="187" t="str">
        <f>Résultats!$N$11</f>
        <v>CAROLINE</v>
      </c>
      <c r="X9" s="237" t="str">
        <f>Résultats!$N$20</f>
        <v>SAN JOSE</v>
      </c>
      <c r="Y9" s="150" t="str">
        <f>Résultats!$N$21</f>
        <v>COLORADO</v>
      </c>
      <c r="Z9" s="195" t="str">
        <f>Résultats!$N$24</f>
        <v>ST-LOUIS</v>
      </c>
      <c r="AA9" s="148" t="str">
        <f>Résultats!$N$25</f>
        <v>DALLAS</v>
      </c>
      <c r="AB9" s="260"/>
      <c r="AC9" s="195" t="str">
        <f>Résultats!$Z$8</f>
        <v>BOSTON</v>
      </c>
      <c r="AD9" s="148" t="str">
        <f>Résultats!$Z$9</f>
        <v>CAROLINE</v>
      </c>
      <c r="AE9" s="152" t="str">
        <f>Résultats!$Z$22</f>
        <v>SAN JOSE</v>
      </c>
      <c r="AF9" s="187" t="str">
        <f>Résultats!$Z$23</f>
        <v>ST-LOUIS</v>
      </c>
      <c r="AG9" s="260"/>
      <c r="AH9" s="161" t="str">
        <f>Résultats!$Z$15</f>
        <v>BOSTON</v>
      </c>
      <c r="AI9" s="162" t="str">
        <f>Résultats!$Z$16</f>
        <v>ST-LOUIS</v>
      </c>
      <c r="AJ9" s="260"/>
      <c r="AK9" s="37"/>
    </row>
    <row r="10" spans="1:38" s="39" customFormat="1" ht="22.5" customHeight="1" thickBot="1" x14ac:dyDescent="0.25">
      <c r="A10" s="42" t="s">
        <v>7</v>
      </c>
      <c r="B10" s="40" t="s">
        <v>11</v>
      </c>
      <c r="C10" s="153" t="str">
        <f>Résultats!$A$3</f>
        <v>A1</v>
      </c>
      <c r="D10" s="188" t="str">
        <f>Résultats!$A$4</f>
        <v>WC2</v>
      </c>
      <c r="E10" s="184" t="str">
        <f>Résultats!$A$6</f>
        <v>A2</v>
      </c>
      <c r="F10" s="156" t="str">
        <f>Résultats!$A$7</f>
        <v>A3</v>
      </c>
      <c r="G10" s="157" t="str">
        <f>Résultats!$A$10</f>
        <v>M1</v>
      </c>
      <c r="H10" s="188" t="str">
        <f>Résultats!$A$11</f>
        <v>WC1</v>
      </c>
      <c r="I10" s="184" t="str">
        <f>Résultats!$A$13</f>
        <v>M2</v>
      </c>
      <c r="J10" s="154" t="str">
        <f>Résultats!$A$14</f>
        <v>M3</v>
      </c>
      <c r="K10" s="158" t="str">
        <f>Résultats!$A$17</f>
        <v>C1</v>
      </c>
      <c r="L10" s="188" t="str">
        <f>Résultats!$A$18</f>
        <v>WC2</v>
      </c>
      <c r="M10" s="155" t="str">
        <f>Résultats!$A$20</f>
        <v>C2</v>
      </c>
      <c r="N10" s="192" t="str">
        <f>Résultats!$A$21</f>
        <v>C3</v>
      </c>
      <c r="O10" s="155" t="str">
        <f>Résultats!$A$24</f>
        <v>P1</v>
      </c>
      <c r="P10" s="192" t="str">
        <f>Résultats!$A$25</f>
        <v>WC1</v>
      </c>
      <c r="Q10" s="196" t="str">
        <f>Résultats!$A$27</f>
        <v>P2</v>
      </c>
      <c r="R10" s="159" t="str">
        <f>Résultats!$A$28</f>
        <v>P3</v>
      </c>
      <c r="S10" s="262"/>
      <c r="T10" s="233" t="str">
        <f>Résultats!$M$6</f>
        <v>A2</v>
      </c>
      <c r="U10" s="154" t="str">
        <f>Résultats!$M$7</f>
        <v>WC2</v>
      </c>
      <c r="V10" s="155" t="str">
        <f>Résultats!$M$10</f>
        <v>M2</v>
      </c>
      <c r="W10" s="188" t="str">
        <f>Résultats!$M$11</f>
        <v>WC1</v>
      </c>
      <c r="X10" s="238" t="str">
        <f>Résultats!$M$20</f>
        <v>P2</v>
      </c>
      <c r="Y10" s="156" t="str">
        <f>Résultats!$M$21</f>
        <v>WC2</v>
      </c>
      <c r="Z10" s="196" t="str">
        <f>Résultats!$M$24</f>
        <v>C3</v>
      </c>
      <c r="AA10" s="159" t="str">
        <f>Résultats!$M$25</f>
        <v>WC1</v>
      </c>
      <c r="AB10" s="261"/>
      <c r="AC10" s="196" t="str">
        <f>Résultats!$Y$8</f>
        <v>A2</v>
      </c>
      <c r="AD10" s="154" t="str">
        <f>Résultats!$Y$9</f>
        <v>WC1</v>
      </c>
      <c r="AE10" s="158" t="str">
        <f>Résultats!$Y$22</f>
        <v>P2</v>
      </c>
      <c r="AF10" s="188" t="str">
        <f>Résultats!$Y$23</f>
        <v>C3</v>
      </c>
      <c r="AG10" s="261"/>
      <c r="AH10" s="163" t="str">
        <f>Résultats!$Y$15</f>
        <v>A2</v>
      </c>
      <c r="AI10" s="164" t="str">
        <f>Résultats!$Y$16</f>
        <v>C3</v>
      </c>
      <c r="AJ10" s="262"/>
      <c r="AK10" s="105" t="s">
        <v>51</v>
      </c>
      <c r="AL10" s="104" t="s">
        <v>3</v>
      </c>
    </row>
    <row r="11" spans="1:38" ht="12.75" customHeight="1" thickTop="1" x14ac:dyDescent="0.2">
      <c r="A11" s="201">
        <f>RANK(AL11,$AL$11:$AL$98,)</f>
        <v>1</v>
      </c>
      <c r="B11" s="202" t="s">
        <v>68</v>
      </c>
      <c r="C11" s="203">
        <v>5</v>
      </c>
      <c r="D11" s="204"/>
      <c r="E11" s="309">
        <v>7</v>
      </c>
      <c r="F11" s="204"/>
      <c r="G11" s="206">
        <v>4</v>
      </c>
      <c r="H11" s="207"/>
      <c r="I11" s="205"/>
      <c r="J11" s="207">
        <v>6</v>
      </c>
      <c r="K11" s="208">
        <v>5</v>
      </c>
      <c r="L11" s="207"/>
      <c r="M11" s="205"/>
      <c r="N11" s="310">
        <v>6</v>
      </c>
      <c r="O11" s="205">
        <v>7</v>
      </c>
      <c r="P11" s="204"/>
      <c r="Q11" s="206">
        <v>6</v>
      </c>
      <c r="R11" s="209"/>
      <c r="S11" s="210">
        <f>SUM(C12:R12)</f>
        <v>37</v>
      </c>
      <c r="T11" s="311">
        <v>6</v>
      </c>
      <c r="U11" s="207"/>
      <c r="V11" s="205"/>
      <c r="W11" s="207">
        <v>6</v>
      </c>
      <c r="X11" s="208">
        <v>5</v>
      </c>
      <c r="Y11" s="204"/>
      <c r="Z11" s="206"/>
      <c r="AA11" s="209">
        <v>7</v>
      </c>
      <c r="AB11" s="210">
        <f>SUM(T12:AA12)</f>
        <v>49</v>
      </c>
      <c r="AC11" s="206"/>
      <c r="AD11" s="207">
        <v>6</v>
      </c>
      <c r="AE11" s="208"/>
      <c r="AF11" s="207">
        <v>7</v>
      </c>
      <c r="AG11" s="210">
        <f>SUM(AC12:AF12)</f>
        <v>19</v>
      </c>
      <c r="AH11" s="312"/>
      <c r="AI11" s="313">
        <v>7</v>
      </c>
      <c r="AJ11" s="210">
        <f>AH12</f>
        <v>32</v>
      </c>
      <c r="AK11" s="213">
        <f>MAX($AL$11:$AL$98) - AL11</f>
        <v>0</v>
      </c>
      <c r="AL11" s="210">
        <f>$S11+$AB11+$AG11+$AJ11</f>
        <v>137</v>
      </c>
    </row>
    <row r="12" spans="1:38" s="27" customFormat="1" hidden="1" x14ac:dyDescent="0.2">
      <c r="A12" s="113" t="e">
        <f>RANK(AL12,$AL$11:$AL$98,)</f>
        <v>#N/A</v>
      </c>
      <c r="B12" s="95"/>
      <c r="C12" s="122">
        <f>(IF($C11&lt;&gt;"",($C$7*$O$105)+IF($C$7=4,($O$103)+IF($C11=$C$7+$D$7,$O$104,0),0),0)+IF($D11&lt;&gt;"",($D$7*$O$105)+IF($D$7=4,($O$103)+IF($D11=$C$7+$D$7,$O$104,0),0),0))</f>
        <v>0</v>
      </c>
      <c r="D12" s="123"/>
      <c r="E12" s="121">
        <f>(IF($E11&lt;&gt;"",($E$7*$O$105)+IF($E$7=4,($O$103)+IF($E11=$E$7+$F$7,$O$104,0),0),0)+IF($F11&lt;&gt;"",($F$7*$O$105)+IF($F$7=4,($O$103)+IF($F11=$E$7+$F$7,$O$104,0),0),0))</f>
        <v>11</v>
      </c>
      <c r="F12" s="123"/>
      <c r="G12" s="121">
        <f>(IF($G11&lt;&gt;"",($G$7*$O$105)+IF($G$7=4,($O$103)+IF($G11=$G$7+$H$7,$O$104,0),0),0)+IF($H11&lt;&gt;"",($H$7*$O$105)+IF($H$7=4,($O$103)+IF($H11=$G$7+$H$7,$O$104,0),0),0))</f>
        <v>3</v>
      </c>
      <c r="H12" s="123"/>
      <c r="I12" s="124">
        <f>(IF($I11&lt;&gt;"",($I$7*$O$105)+IF($I$7=4,($O$103)+IF($I11=$I$7+$J$7,$O$104,0),0),0)+IF($J11&lt;&gt;"",($J$7*$O$105)+IF($J$7=4,($O$103)+IF($J11=$I$7+$J$7,$O$104,0),0),0))</f>
        <v>0</v>
      </c>
      <c r="J12" s="125"/>
      <c r="K12" s="126">
        <f>(IF($K11&lt;&gt;"",($K$7*$O$105)+IF($K$7=4,($O$103)+IF($K11=$K$7+$L$7,$O$104,0),0),0)+IF($L11&lt;&gt;"",($L$7*$O$105)+IF($L$7=4,($O$103)+IF($L11=$K$7+$L$7,$O$104,0),0),0))</f>
        <v>1</v>
      </c>
      <c r="L12" s="123"/>
      <c r="M12" s="121">
        <f>(IF($M11&lt;&gt;"",($M$7*$O$105)+IF($M$7=4,($O$103)+IF($M11=$M$7+$N$7,$O$104,0),0),0)+IF($N11&lt;&gt;"",($N$7*$O$105)+IF($N$7=4,($O$103)+IF($N11=$M$7+$N$7,$O$104,0),0),0))</f>
        <v>11</v>
      </c>
      <c r="N12" s="123"/>
      <c r="O12" s="124">
        <f>(IF($O11&lt;&gt;"",($O$7*$O$105)+IF($O$7=4,($O$103)+IF($O11=$O$7+$P$7,$O$104,0),0),0)+IF($P11&lt;&gt;"",($P$7*$O$105)+IF($P$7=4,($O$103)+IF($P11=$O$7+$P$7,$O$104,0),0),0))</f>
        <v>2</v>
      </c>
      <c r="P12" s="123"/>
      <c r="Q12" s="121">
        <f>(IF($Q11&lt;&gt;"",($Q$7*$O$105)+IF($Q$7=4,($O$103)+IF($Q11=$Q$7+$R$7,$O$104,0),0),0)+IF($R11&lt;&gt;"",($R$7*$O$105)+IF($R$7=4,($O$103)+IF($R11=$Q$7+$R$7,$O$104,0),0),0))</f>
        <v>9</v>
      </c>
      <c r="R12" s="127"/>
      <c r="S12" s="117"/>
      <c r="T12" s="122">
        <f>(IF($T11&lt;&gt;"",($T$7*$P$105)+IF($T$7=4,($P$103)+IF($T11=$T$7+$U$7,$P$104,0),0),0)+IF($U11&lt;&gt;"",($U$7*$P$105)+IF($U$7=4,($P$103)+IF($U11=$T$7+$U$7,$P$104,0),0),0))</f>
        <v>18</v>
      </c>
      <c r="U12" s="122"/>
      <c r="V12" s="122">
        <f>(IF($V11&lt;&gt;"",($V$7*$P$105)+IF($V$7=4,($P$103)+IF($V11=$V$7+$W$7,$P$104,0),0),0)+IF($W11&lt;&gt;"",($W$7*$P$105)+IF($W$7=4,($P$103)+IF($W11=$V$7+$W$7,$P$104,0),0),0))</f>
        <v>14</v>
      </c>
      <c r="W12" s="122"/>
      <c r="X12" s="122">
        <f>(IF($X11&lt;&gt;"",($X$7*$P$105)+IF($X$7=4,($P$103)+IF($X11=$X$7+$Y$7,$P$104,0),0),0)+IF($Y11&lt;&gt;"",($Y$7*$P$105)+IF($Y$7=4,($P$103)+IF($Y11=$X$7+$Y$7,$P$104,0),0),0))</f>
        <v>14</v>
      </c>
      <c r="Y12" s="59"/>
      <c r="Z12" s="122">
        <f>(IF($Z11&lt;&gt;"",($Z$7*$P$105)+IF($Z$7=4,($P$103)+IF($Z11=$Z$7+$AA$7,$P$104,0),0),0)+IF($AA11&lt;&gt;"",($AA$7*$P$105)+IF($AA$7=4,($P$103)+IF($AA11=$Z$7+$AA$7,$P$104,0),0),0))</f>
        <v>3</v>
      </c>
      <c r="AA12" s="60"/>
      <c r="AB12" s="117"/>
      <c r="AC12" s="122">
        <f>(IF($AC11&lt;&gt;"",($AC$7*$Q$105)+IF($AC$7=4,($Q$103)+IF($AC11=$AC$7+$AD$7,$Q$104,0),0),0)+IF($AD11&lt;&gt;"",($AD$7*$Q$105)+IF($AD$7=4,($Q$103)+IF($AD11=$AC$7+$AD$7,$Q$104,0),0),0))</f>
        <v>0</v>
      </c>
      <c r="AD12" s="122"/>
      <c r="AE12" s="122">
        <f>(IF($AE11&lt;&gt;"",($AE$7*$Q$105)+IF($AE$7=4,($Q$103)+IF($AE11=$AE$7+$AF$7,$Q$104,0),0),0)+IF($AF11&lt;&gt;"",($AF$7*$Q$105)+IF($AF$7=4,($Q$103)+IF($AF11=$AE$7+$AF$7,$Q$104,0),0),0))</f>
        <v>19</v>
      </c>
      <c r="AF12" s="82"/>
      <c r="AG12" s="117"/>
      <c r="AH12" s="122">
        <f>(IF($AH11&lt;&gt;"",($AH$7*$Q$105)+IF($AH$7=4,($R$103)+IF($AH11=$AH$7+$AI$7,$R$104,0),0),0)+IF($AI11&lt;&gt;"",($AI$7*$R$105)+IF($AI$7=4,($R$103)+IF($AI11=$AH$7+$AI$7,$R$104,0),0),0))</f>
        <v>32</v>
      </c>
      <c r="AI12" s="128"/>
      <c r="AJ12" s="117"/>
      <c r="AK12" s="106"/>
      <c r="AL12" s="117"/>
    </row>
    <row r="13" spans="1:38" s="27" customFormat="1" hidden="1" x14ac:dyDescent="0.2">
      <c r="A13" s="96"/>
      <c r="B13" s="120" t="s">
        <v>52</v>
      </c>
      <c r="C13" s="114">
        <f>IF(ISBLANK(C11),
0,
IF(C$7= 4, 1, 0))</f>
        <v>0</v>
      </c>
      <c r="D13" s="114">
        <f>IF(ISBLANK(D11),
0,
IF(D$7 = 4, 1, 0))</f>
        <v>0</v>
      </c>
      <c r="E13" s="114">
        <f>IF(ISBLANK(E11),
0,
IF(E$7= 4, 1, 0))</f>
        <v>1</v>
      </c>
      <c r="F13" s="114">
        <f>IF(ISBLANK(F11),
0,
IF(F$7 = 4, 1, 0))</f>
        <v>0</v>
      </c>
      <c r="G13" s="114">
        <f>IF(ISBLANK(G11),
0,
IF(G$7= 4, 1, 0))</f>
        <v>0</v>
      </c>
      <c r="H13" s="114">
        <f>IF(ISBLANK(H11),
0,
IF(H$7 = 4, 1, 0))</f>
        <v>0</v>
      </c>
      <c r="I13" s="114">
        <f>IF(ISBLANK(I11),
0,
IF(I$7= 4, 1, 0))</f>
        <v>0</v>
      </c>
      <c r="J13" s="114">
        <f>IF(ISBLANK(J11),
0,
IF(J$7 = 4, 1, 0))</f>
        <v>0</v>
      </c>
      <c r="K13" s="114">
        <f>IF(ISBLANK(K11),
0,
IF(K$7= 4, 1, 0))</f>
        <v>0</v>
      </c>
      <c r="L13" s="114">
        <f>IF(ISBLANK(L11),
0,
IF(L$7 = 4, 1, 0))</f>
        <v>0</v>
      </c>
      <c r="M13" s="114">
        <f>IF(ISBLANK(M11),
0,
IF(M$7= 4, 1, 0))</f>
        <v>0</v>
      </c>
      <c r="N13" s="114">
        <f>IF(ISBLANK(N11),
0,
IF(N$7 = 4, 1, 0))</f>
        <v>1</v>
      </c>
      <c r="O13" s="114">
        <f>IF(ISBLANK(O11),
0,
IF(O$7= 4, 1, 0))</f>
        <v>0</v>
      </c>
      <c r="P13" s="114">
        <f>IF(ISBLANK(P11),
0,
IF(P$7 = 4, 1, 0))</f>
        <v>0</v>
      </c>
      <c r="Q13" s="129">
        <f>IF(ISBLANK(Q11),
0,
IF(Q$7= 4, 1, 0))</f>
        <v>1</v>
      </c>
      <c r="R13" s="114">
        <f>IF(ISBLANK(R11),
0,
IF(R$7 = 4, 1, 0))</f>
        <v>0</v>
      </c>
      <c r="S13" s="130"/>
      <c r="T13" s="114">
        <f>IF(ISBLANK(T11),
0,
IF(T$7= 4, 1, 0))</f>
        <v>1</v>
      </c>
      <c r="U13" s="114">
        <f>IF(ISBLANK(U11),
0,
IF(U$7 = 4, 1, 0))</f>
        <v>0</v>
      </c>
      <c r="V13" s="114">
        <f>IF(ISBLANK(V11),
0,
IF(V$7= 4, 1, 0))</f>
        <v>0</v>
      </c>
      <c r="W13" s="114">
        <f>IF(ISBLANK(W11),
0,
IF(W$7 = 4, 1, 0))</f>
        <v>1</v>
      </c>
      <c r="X13" s="114">
        <f>IF(ISBLANK(X11),
0,
IF(X$7= 4, 1, 0))</f>
        <v>1</v>
      </c>
      <c r="Y13" s="114">
        <f>IF(ISBLANK(Y11),
0,
IF(Y$7 = 4, 1, 0))</f>
        <v>0</v>
      </c>
      <c r="Z13" s="114">
        <f>IF(ISBLANK(Z11),
0,
IF(Z$7= 4, 1, 0))</f>
        <v>0</v>
      </c>
      <c r="AA13" s="114">
        <f>IF(ISBLANK(AA11),
0,
IF(AA$7 = 4, 1, 0))</f>
        <v>0</v>
      </c>
      <c r="AB13" s="130"/>
      <c r="AC13" s="114">
        <f>IF(ISBLANK(AC11),
0,
IF(AC$7= 4, 1, 0))</f>
        <v>0</v>
      </c>
      <c r="AD13" s="114">
        <f>IF(ISBLANK(AD11),
0,
IF(AD$7 = 4, 1, 0))</f>
        <v>0</v>
      </c>
      <c r="AE13" s="114">
        <f>IF(ISBLANK(AE11),
0,
IF(AE$7= 4, 1, 0))</f>
        <v>0</v>
      </c>
      <c r="AF13" s="114">
        <f>IF(ISBLANK(AF11),
0,
IF(AF$7 = 4, 1, 0))</f>
        <v>1</v>
      </c>
      <c r="AG13" s="130"/>
      <c r="AH13" s="114">
        <f>IF(ISBLANK(AH11),
0,
IF(AH$7= 4, 1, 0))</f>
        <v>0</v>
      </c>
      <c r="AI13" s="114">
        <f>IF(ISBLANK(AI11),
0,
IF(AI$7 = 4, 1, 0))</f>
        <v>1</v>
      </c>
      <c r="AJ13" s="130"/>
      <c r="AK13" s="131">
        <f>SUM(C13:AI13)</f>
        <v>8</v>
      </c>
      <c r="AL13" s="119"/>
    </row>
    <row r="14" spans="1:38" s="27" customFormat="1" hidden="1" x14ac:dyDescent="0.2">
      <c r="A14" s="96"/>
      <c r="B14" s="120" t="s">
        <v>53</v>
      </c>
      <c r="C14" s="114">
        <f>IF(C13 = 0,
0,
IF(C11 = (C$7+D$7),1,0))</f>
        <v>0</v>
      </c>
      <c r="D14" s="114">
        <f>IF(D13 = 0,
0,
IF(D11 = (C$7+D$7),1,0))</f>
        <v>0</v>
      </c>
      <c r="E14" s="114">
        <f>IF(E13 = 0,
0,
IF(E11 = (E$7+F$7),1,0))</f>
        <v>1</v>
      </c>
      <c r="F14" s="114">
        <f>IF(F13 = 0,
0,
IF(F11 = (E$7+F$7),1,0))</f>
        <v>0</v>
      </c>
      <c r="G14" s="114">
        <f>IF(G13 = 0,
0,
IF(G11 = (G$7+H$7),1,0))</f>
        <v>0</v>
      </c>
      <c r="H14" s="114">
        <f>IF(H13 = 0,
0,
IF(H11 = (G$7+H$7),1,0))</f>
        <v>0</v>
      </c>
      <c r="I14" s="114">
        <f>IF(I13 = 0,
0,
IF(I11 = (I$7+J$7),1,0))</f>
        <v>0</v>
      </c>
      <c r="J14" s="114">
        <f>IF(J13 = 0,
0,
IF(J11 = (I$7+J$7),1,0))</f>
        <v>0</v>
      </c>
      <c r="K14" s="114">
        <f>IF(K13 = 0,
0,
IF(K11 = (K$7+L$7),1,0))</f>
        <v>0</v>
      </c>
      <c r="L14" s="114">
        <f>IF(L13 = 0,
0,
IF(L11 = (K$7+L$7),1,0))</f>
        <v>0</v>
      </c>
      <c r="M14" s="114">
        <f>IF(M13 = 0,
0,
IF(M11 = (M$7+N$7),1,0))</f>
        <v>0</v>
      </c>
      <c r="N14" s="114">
        <f>IF(N13 = 0,
0,
IF(N11 = (M$7+N$7),1,0))</f>
        <v>1</v>
      </c>
      <c r="O14" s="114">
        <f>IF(O13 = 0,
0,
IF(O11 = (O$7+P$7),1,0))</f>
        <v>0</v>
      </c>
      <c r="P14" s="114">
        <f>IF(P13 = 0,
0,
IF(P11 = (O$7+P$7),1,0))</f>
        <v>0</v>
      </c>
      <c r="Q14" s="129">
        <f>IF(Q13 = 0,
0,
IF(Q11 = (Q$7+R$7),1,0))</f>
        <v>0</v>
      </c>
      <c r="R14" s="114">
        <f>IF(R13 = 0,
0,
IF(R11 = (Q$7+R$7),1,0))</f>
        <v>0</v>
      </c>
      <c r="S14" s="130"/>
      <c r="T14" s="114">
        <f>IF(T13 = 0,
0,
IF(T11 = (T$7+U$7),1,0))</f>
        <v>1</v>
      </c>
      <c r="U14" s="114">
        <f>IF(U13 = 0,
0,
IF(U11 = (T$7+U$7),1,0))</f>
        <v>0</v>
      </c>
      <c r="V14" s="114">
        <f>IF(V13 = 0,
0,
IF(V11 = (V$7+W$7),1,0))</f>
        <v>0</v>
      </c>
      <c r="W14" s="114">
        <f>IF(W13 = 0,
0,
IF(W11 = (V$7+W$7),1,0))</f>
        <v>0</v>
      </c>
      <c r="X14" s="114">
        <f>IF(X13 = 0,
0,
IF(X11 = (X$7+Y$7),1,0))</f>
        <v>0</v>
      </c>
      <c r="Y14" s="114">
        <f>IF(Y13 = 0,
0,
IF(Y11 = (X$7+Y$7),1,0))</f>
        <v>0</v>
      </c>
      <c r="Z14" s="114">
        <f>IF(Z13 = 0,
0,
IF(Z11 = (Z$7+AA$7),1,0))</f>
        <v>0</v>
      </c>
      <c r="AA14" s="114">
        <f>IF(AA13 = 0,
0,
IF(AA11 = (Z$7+AA$7),1,0))</f>
        <v>0</v>
      </c>
      <c r="AB14" s="130"/>
      <c r="AC14" s="114">
        <f>IF(AC13 = 0,
0,
IF(AC11 = (AC$7+AD$7),1,0))</f>
        <v>0</v>
      </c>
      <c r="AD14" s="114">
        <f>IF(AD13 = 0,
0,
IF(AD11 = (AC$7+AD$7),1,0))</f>
        <v>0</v>
      </c>
      <c r="AE14" s="114">
        <f>IF(AE13 = 0,
0,
IF(AE11 = (AE$7+AF$7),1,0))</f>
        <v>0</v>
      </c>
      <c r="AF14" s="114">
        <f>IF(AF13 = 0,
0,
IF(AF11 = (AE$7+AF$7),1,0))</f>
        <v>0</v>
      </c>
      <c r="AG14" s="130"/>
      <c r="AH14" s="114">
        <f>IF(AH13 = 0,
0,
IF(AH11 = (AH$7+AI$7),1,0))</f>
        <v>0</v>
      </c>
      <c r="AI14" s="114">
        <f>IF(AI13 = 0,
0,
IF(AI11 = (AH$7+AI$7),1,0))</f>
        <v>1</v>
      </c>
      <c r="AJ14" s="130"/>
      <c r="AK14" s="131">
        <f>SUM(C14:AI14)</f>
        <v>4</v>
      </c>
      <c r="AL14" s="119"/>
    </row>
    <row r="15" spans="1:38" ht="12.75" customHeight="1" x14ac:dyDescent="0.2">
      <c r="A15" s="113">
        <f>RANK(AL15,$AL$11:$AL$98,)</f>
        <v>2</v>
      </c>
      <c r="B15" s="81" t="s">
        <v>83</v>
      </c>
      <c r="C15" s="46">
        <v>5</v>
      </c>
      <c r="D15" s="45"/>
      <c r="E15" s="44">
        <v>5</v>
      </c>
      <c r="F15" s="45"/>
      <c r="G15" s="48">
        <v>5</v>
      </c>
      <c r="H15" s="47"/>
      <c r="I15" s="44"/>
      <c r="J15" s="47">
        <v>6</v>
      </c>
      <c r="K15" s="49">
        <v>5</v>
      </c>
      <c r="L15" s="47"/>
      <c r="M15" s="44"/>
      <c r="N15" s="198">
        <v>6</v>
      </c>
      <c r="O15" s="44">
        <v>5</v>
      </c>
      <c r="P15" s="45"/>
      <c r="Q15" s="48"/>
      <c r="R15" s="50">
        <v>6</v>
      </c>
      <c r="S15" s="118">
        <f>SUM(C16:R16)</f>
        <v>29</v>
      </c>
      <c r="T15" s="46"/>
      <c r="U15" s="47">
        <v>6</v>
      </c>
      <c r="V15" s="44">
        <v>5</v>
      </c>
      <c r="W15" s="47"/>
      <c r="X15" s="240">
        <v>7</v>
      </c>
      <c r="Y15" s="45"/>
      <c r="Z15" s="200">
        <v>7</v>
      </c>
      <c r="AA15" s="50"/>
      <c r="AB15" s="118">
        <f>SUM(T16:AA16)</f>
        <v>38</v>
      </c>
      <c r="AC15" s="48">
        <v>6</v>
      </c>
      <c r="AD15" s="47"/>
      <c r="AE15" s="49"/>
      <c r="AF15" s="242">
        <v>6</v>
      </c>
      <c r="AG15" s="118">
        <f>SUM(AC16:AF16)</f>
        <v>44</v>
      </c>
      <c r="AH15" s="308"/>
      <c r="AI15" s="58">
        <v>6</v>
      </c>
      <c r="AJ15" s="118">
        <f>AH16</f>
        <v>24</v>
      </c>
      <c r="AK15" s="107">
        <f>MAX($AL$11:$AL$98) - AL15</f>
        <v>2</v>
      </c>
      <c r="AL15" s="118">
        <f>$S15+$AB15+$AG15+$AJ15</f>
        <v>135</v>
      </c>
    </row>
    <row r="16" spans="1:38" s="27" customFormat="1" ht="12.75" hidden="1" customHeight="1" x14ac:dyDescent="0.2">
      <c r="A16" s="113" t="e">
        <f>RANK(AL16,$AL$11:$AL$98,)</f>
        <v>#N/A</v>
      </c>
      <c r="B16" s="95"/>
      <c r="C16" s="114">
        <f>(IF($C15&lt;&gt;"",($C$7*$O$105)+IF($C$7=4,($O$103)+IF($C15=$C$7+$D$7,$O$104,0),0),0)+IF($D15&lt;&gt;"",($D$7*$O$105)+IF($D$7=4,($O$103)+IF($D15=$C$7+$D$7,$O$104,0),0),0))</f>
        <v>0</v>
      </c>
      <c r="D16" s="132"/>
      <c r="E16" s="121">
        <f>(IF($E15&lt;&gt;"",($E$7*$O$105)+IF($E$7=4,($O$103)+IF($E15=$E$7+$F$7,$O$104,0),0),0)+IF($F15&lt;&gt;"",($F$7*$O$105)+IF($F$7=4,($O$103)+IF($F15=$E$7+$F$7,$O$104,0),0),0))</f>
        <v>9</v>
      </c>
      <c r="F16" s="132"/>
      <c r="G16" s="121">
        <f>(IF($G15&lt;&gt;"",($G$7*$O$105)+IF($G$7=4,($O$103)+IF($G15=$G$7+$H$7,$O$104,0),0),0)+IF($H15&lt;&gt;"",($H$7*$O$105)+IF($H$7=4,($O$103)+IF($H15=$G$7+$H$7,$O$104,0),0),0))</f>
        <v>3</v>
      </c>
      <c r="H16" s="132"/>
      <c r="I16" s="116">
        <f>(IF($I15&lt;&gt;"",($I$7*$O$105)+IF($I$7=4,($O$103)+IF($I15=$I$7+$J$7,$O$104,0),0),0)+IF($J15&lt;&gt;"",($J$7*$O$105)+IF($J$7=4,($O$103)+IF($J15=$I$7+$J$7,$O$104,0),0),0))</f>
        <v>0</v>
      </c>
      <c r="J16" s="133"/>
      <c r="K16" s="134">
        <f>(IF($K15&lt;&gt;"",($K$7*$O$105)+IF($K$7=4,($O$103)+IF($K15=$K$7+$L$7,$O$104,0),0),0)+IF($L15&lt;&gt;"",($L$7*$O$105)+IF($L$7=4,($O$103)+IF($L15=$K$7+$L$7,$O$104,0),0),0))</f>
        <v>1</v>
      </c>
      <c r="L16" s="132"/>
      <c r="M16" s="121">
        <f>(IF($M15&lt;&gt;"",($M$7*$O$105)+IF($M$7=4,($O$103)+IF($M15=$M$7+$N$7,$O$104,0),0),0)+IF($N15&lt;&gt;"",($N$7*$O$105)+IF($N$7=4,($O$103)+IF($N15=$M$7+$N$7,$O$104,0),0),0))</f>
        <v>11</v>
      </c>
      <c r="N16" s="132"/>
      <c r="O16" s="116">
        <f>(IF($O15&lt;&gt;"",($O$7*$O$105)+IF($O$7=4,($O$103)+IF($O15=$O$7+$P$7,$O$104,0),0),0)+IF($P15&lt;&gt;"",($P$7*$O$105)+IF($P$7=4,($O$103)+IF($P15=$O$7+$P$7,$O$104,0),0),0))</f>
        <v>2</v>
      </c>
      <c r="P16" s="132"/>
      <c r="Q16" s="116">
        <f>(IF($Q15&lt;&gt;"",($Q$7*$O$105)+IF($Q$7=4,($O$103)+IF($Q15=$Q$7+$R$7,$O$104,0),0),0)+IF($R15&lt;&gt;"",($R$7*$O$105)+IF($R$7=4,($O$103)+IF($R15=$Q$7+$R$7,$O$104,0),0),0))</f>
        <v>3</v>
      </c>
      <c r="R16" s="135"/>
      <c r="S16" s="136"/>
      <c r="T16" s="122">
        <f>(IF($T15&lt;&gt;"",($T$7*$P$105)+IF($T$7=4,($P$103)+IF($T15=$T$7+$U$7,$P$104,0),0),0)+IF($U15&lt;&gt;"",($U$7*$P$105)+IF($U$7=4,($P$103)+IF($U15=$T$7+$U$7,$P$104,0),0),0))</f>
        <v>2</v>
      </c>
      <c r="U16" s="122"/>
      <c r="V16" s="122">
        <f>(IF($V15&lt;&gt;"",($V$7*$P$105)+IF($V$7=4,($P$103)+IF($V15=$V$7+$W$7,$P$104,0),0),0)+IF($W15&lt;&gt;"",($W$7*$P$105)+IF($W$7=4,($P$103)+IF($W15=$V$7+$W$7,$P$104,0),0),0))</f>
        <v>0</v>
      </c>
      <c r="W16" s="122"/>
      <c r="X16" s="122">
        <f>(IF($X15&lt;&gt;"",($X$7*$P$105)+IF($X$7=4,($P$103)+IF($X15=$X$7+$Y$7,$P$104,0),0),0)+IF($Y15&lt;&gt;"",($Y$7*$P$105)+IF($Y$7=4,($P$103)+IF($Y15=$X$7+$Y$7,$P$104,0),0),0))</f>
        <v>18</v>
      </c>
      <c r="Y16" s="59"/>
      <c r="Z16" s="122">
        <f>(IF($Z15&lt;&gt;"",($Z$7*$P$105)+IF($Z$7=4,($P$103)+IF($Z15=$Z$7+$AA$7,$P$104,0),0),0)+IF($AA15&lt;&gt;"",($AA$7*$P$105)+IF($AA$7=4,($P$103)+IF($AA15=$Z$7+$AA$7,$P$104,0),0),0))</f>
        <v>18</v>
      </c>
      <c r="AA16" s="60"/>
      <c r="AB16" s="136"/>
      <c r="AC16" s="122">
        <f>(IF($AC15&lt;&gt;"",($AC$7*$Q$105)+IF($AC$7=4,($Q$103)+IF($AC15=$AC$7+$AD$7,$Q$104,0),0),0)+IF($AD15&lt;&gt;"",($AD$7*$Q$105)+IF($AD$7=4,($Q$103)+IF($AD15=$AC$7+$AD$7,$Q$104,0),0),0))</f>
        <v>19</v>
      </c>
      <c r="AD16" s="122"/>
      <c r="AE16" s="122">
        <f>(IF($AE15&lt;&gt;"",($AE$7*$Q$105)+IF($AE$7=4,($Q$103)+IF($AE15=$AE$7+$AF$7,$Q$104,0),0),0)+IF($AF15&lt;&gt;"",($AF$7*$Q$105)+IF($AF$7=4,($Q$103)+IF($AF15=$AE$7+$AF$7,$Q$104,0),0),0))</f>
        <v>25</v>
      </c>
      <c r="AF16" s="82"/>
      <c r="AG16" s="136"/>
      <c r="AH16" s="122">
        <f>(IF($AH15&lt;&gt;"",($AH$7*$Q$105)+IF($AH$7=4,($R$103)+IF($AH15=$AH$7+$AI$7,$R$104,0),0),0)+IF($AI15&lt;&gt;"",($AI$7*$R$105)+IF($AI$7=4,($R$103)+IF($AI15=$AH$7+$AI$7,$R$104,0),0),0))</f>
        <v>24</v>
      </c>
      <c r="AI16" s="128"/>
      <c r="AJ16" s="117"/>
      <c r="AK16" s="89">
        <f>MAX($AL$11:$AL$98) - AL16</f>
        <v>137</v>
      </c>
      <c r="AL16" s="117"/>
    </row>
    <row r="17" spans="1:38" s="27" customFormat="1" ht="12.75" hidden="1" customHeight="1" x14ac:dyDescent="0.2">
      <c r="A17" s="96"/>
      <c r="B17" s="120" t="s">
        <v>52</v>
      </c>
      <c r="C17" s="114">
        <f>IF(ISBLANK(C15),
0,
IF(C$7= 4, 1, 0))</f>
        <v>0</v>
      </c>
      <c r="D17" s="114">
        <f>IF(ISBLANK(D15),
0,
IF(D$7 = 4, 1, 0))</f>
        <v>0</v>
      </c>
      <c r="E17" s="129">
        <f>IF(ISBLANK(E15),
0,
IF(E$7= 4, 1, 0))</f>
        <v>1</v>
      </c>
      <c r="F17" s="114">
        <f>IF(ISBLANK(F15),
0,
IF(F$7 = 4, 1, 0))</f>
        <v>0</v>
      </c>
      <c r="G17" s="114">
        <f>IF(ISBLANK(G15),
0,
IF(G$7= 4, 1, 0))</f>
        <v>0</v>
      </c>
      <c r="H17" s="114">
        <f>IF(ISBLANK(H15),
0,
IF(H$7 = 4, 1, 0))</f>
        <v>0</v>
      </c>
      <c r="I17" s="114">
        <f>IF(ISBLANK(I15),
0,
IF(I$7= 4, 1, 0))</f>
        <v>0</v>
      </c>
      <c r="J17" s="114">
        <f>IF(ISBLANK(J15),
0,
IF(J$7 = 4, 1, 0))</f>
        <v>0</v>
      </c>
      <c r="K17" s="114">
        <f>IF(ISBLANK(K15),
0,
IF(K$7= 4, 1, 0))</f>
        <v>0</v>
      </c>
      <c r="L17" s="114">
        <f>IF(ISBLANK(L15),
0,
IF(L$7 = 4, 1, 0))</f>
        <v>0</v>
      </c>
      <c r="M17" s="114">
        <f>IF(ISBLANK(M15),
0,
IF(M$7= 4, 1, 0))</f>
        <v>0</v>
      </c>
      <c r="N17" s="114">
        <f>IF(ISBLANK(N15),
0,
IF(N$7 = 4, 1, 0))</f>
        <v>1</v>
      </c>
      <c r="O17" s="114">
        <f>IF(ISBLANK(O15),
0,
IF(O$7= 4, 1, 0))</f>
        <v>0</v>
      </c>
      <c r="P17" s="114">
        <f>IF(ISBLANK(P15),
0,
IF(P$7 = 4, 1, 0))</f>
        <v>0</v>
      </c>
      <c r="Q17" s="114">
        <f>IF(ISBLANK(Q15),
0,
IF(Q$7= 4, 1, 0))</f>
        <v>0</v>
      </c>
      <c r="R17" s="114">
        <f>IF(ISBLANK(R15),
0,
IF(R$7 = 4, 1, 0))</f>
        <v>0</v>
      </c>
      <c r="S17" s="130"/>
      <c r="T17" s="114">
        <f>IF(ISBLANK(T15),
0,
IF(T$7= 4, 1, 0))</f>
        <v>0</v>
      </c>
      <c r="U17" s="114">
        <f>IF(ISBLANK(U15),
0,
IF(U$7 = 4, 1, 0))</f>
        <v>0</v>
      </c>
      <c r="V17" s="114">
        <f>IF(ISBLANK(V15),
0,
IF(V$7= 4, 1, 0))</f>
        <v>0</v>
      </c>
      <c r="W17" s="114">
        <f>IF(ISBLANK(W15),
0,
IF(W$7 = 4, 1, 0))</f>
        <v>0</v>
      </c>
      <c r="X17" s="114">
        <f>IF(ISBLANK(X15),
0,
IF(X$7= 4, 1, 0))</f>
        <v>1</v>
      </c>
      <c r="Y17" s="114">
        <f>IF(ISBLANK(Y15),
0,
IF(Y$7 = 4, 1, 0))</f>
        <v>0</v>
      </c>
      <c r="Z17" s="114">
        <f>IF(ISBLANK(Z15),
0,
IF(Z$7= 4, 1, 0))</f>
        <v>1</v>
      </c>
      <c r="AA17" s="114">
        <f>IF(ISBLANK(AA15),
0,
IF(AA$7 = 4, 1, 0))</f>
        <v>0</v>
      </c>
      <c r="AB17" s="130"/>
      <c r="AC17" s="114">
        <f>IF(ISBLANK(AC15),
0,
IF(AC$7= 4, 1, 0))</f>
        <v>1</v>
      </c>
      <c r="AD17" s="114">
        <f>IF(ISBLANK(AD15),
0,
IF(AD$7 = 4, 1, 0))</f>
        <v>0</v>
      </c>
      <c r="AE17" s="114">
        <f>IF(ISBLANK(AE15),
0,
IF(AE$7= 4, 1, 0))</f>
        <v>0</v>
      </c>
      <c r="AF17" s="114">
        <f>IF(ISBLANK(AF15),
0,
IF(AF$7 = 4, 1, 0))</f>
        <v>1</v>
      </c>
      <c r="AG17" s="130"/>
      <c r="AH17" s="114">
        <f>IF(ISBLANK(AH15),
0,
IF(AH$7= 4, 1, 0))</f>
        <v>0</v>
      </c>
      <c r="AI17" s="114">
        <f>IF(ISBLANK(AI15),
0,
IF(AI$7 = 4, 1, 0))</f>
        <v>1</v>
      </c>
      <c r="AJ17" s="130"/>
      <c r="AK17" s="131">
        <f>SUM(C17:AI17)</f>
        <v>7</v>
      </c>
      <c r="AL17" s="119"/>
    </row>
    <row r="18" spans="1:38" s="27" customFormat="1" ht="12.75" hidden="1" customHeight="1" x14ac:dyDescent="0.2">
      <c r="A18" s="96"/>
      <c r="B18" s="120" t="s">
        <v>53</v>
      </c>
      <c r="C18" s="114">
        <f>IF(C17 = 0,
0,
IF(C15 = (C$7+D$7),1,0))</f>
        <v>0</v>
      </c>
      <c r="D18" s="114">
        <f>IF(D17 = 0,
0,
IF(D15 = (C$7+D$7),1,0))</f>
        <v>0</v>
      </c>
      <c r="E18" s="129">
        <f>IF(E17 = 0,
0,
IF(E15 = (E$7+F$7),1,0))</f>
        <v>0</v>
      </c>
      <c r="F18" s="114">
        <f>IF(F17 = 0,
0,
IF(F15 = (E$7+F$7),1,0))</f>
        <v>0</v>
      </c>
      <c r="G18" s="114">
        <f>IF(G17 = 0,
0,
IF(G15 = (G$7+H$7),1,0))</f>
        <v>0</v>
      </c>
      <c r="H18" s="114">
        <f>IF(H17 = 0,
0,
IF(H15 = (G$7+H$7),1,0))</f>
        <v>0</v>
      </c>
      <c r="I18" s="114">
        <f>IF(I17 = 0,
0,
IF(I15 = (I$7+J$7),1,0))</f>
        <v>0</v>
      </c>
      <c r="J18" s="114">
        <f>IF(J17 = 0,
0,
IF(J15 = (I$7+J$7),1,0))</f>
        <v>0</v>
      </c>
      <c r="K18" s="114">
        <f>IF(K17 = 0,
0,
IF(K15 = (K$7+L$7),1,0))</f>
        <v>0</v>
      </c>
      <c r="L18" s="114">
        <f>IF(L17 = 0,
0,
IF(L15 = (K$7+L$7),1,0))</f>
        <v>0</v>
      </c>
      <c r="M18" s="114">
        <f>IF(M17 = 0,
0,
IF(M15 = (M$7+N$7),1,0))</f>
        <v>0</v>
      </c>
      <c r="N18" s="114">
        <f>IF(N17 = 0,
0,
IF(N15 = (M$7+N$7),1,0))</f>
        <v>1</v>
      </c>
      <c r="O18" s="114">
        <f>IF(O17 = 0,
0,
IF(O15 = (O$7+P$7),1,0))</f>
        <v>0</v>
      </c>
      <c r="P18" s="114">
        <f>IF(P17 = 0,
0,
IF(P15 = (O$7+P$7),1,0))</f>
        <v>0</v>
      </c>
      <c r="Q18" s="114">
        <f>IF(Q17 = 0,
0,
IF(Q15 = (Q$7+R$7),1,0))</f>
        <v>0</v>
      </c>
      <c r="R18" s="114">
        <f>IF(R17 = 0,
0,
IF(R15 = (Q$7+R$7),1,0))</f>
        <v>0</v>
      </c>
      <c r="S18" s="130"/>
      <c r="T18" s="114">
        <f>IF(T17 = 0,
0,
IF(T15 = (T$7+U$7),1,0))</f>
        <v>0</v>
      </c>
      <c r="U18" s="114">
        <f>IF(U17 = 0,
0,
IF(U15 = (T$7+U$7),1,0))</f>
        <v>0</v>
      </c>
      <c r="V18" s="114">
        <f>IF(V17 = 0,
0,
IF(V15 = (V$7+W$7),1,0))</f>
        <v>0</v>
      </c>
      <c r="W18" s="114">
        <f>IF(W17 = 0,
0,
IF(W15 = (V$7+W$7),1,0))</f>
        <v>0</v>
      </c>
      <c r="X18" s="114">
        <f>IF(X17 = 0,
0,
IF(X15 = (X$7+Y$7),1,0))</f>
        <v>1</v>
      </c>
      <c r="Y18" s="114">
        <f>IF(Y17 = 0,
0,
IF(Y15 = (X$7+Y$7),1,0))</f>
        <v>0</v>
      </c>
      <c r="Z18" s="114">
        <f>IF(Z17 = 0,
0,
IF(Z15 = (Z$7+AA$7),1,0))</f>
        <v>1</v>
      </c>
      <c r="AA18" s="114">
        <f>IF(AA17 = 0,
0,
IF(AA15 = (Z$7+AA$7),1,0))</f>
        <v>0</v>
      </c>
      <c r="AB18" s="130"/>
      <c r="AC18" s="114">
        <f>IF(AC17 = 0,
0,
IF(AC15 = (AC$7+AD$7),1,0))</f>
        <v>0</v>
      </c>
      <c r="AD18" s="114">
        <f>IF(AD17 = 0,
0,
IF(AD15 = (AC$7+AD$7),1,0))</f>
        <v>0</v>
      </c>
      <c r="AE18" s="114">
        <f>IF(AE17 = 0,
0,
IF(AE15 = (AE$7+AF$7),1,0))</f>
        <v>0</v>
      </c>
      <c r="AF18" s="114">
        <f>IF(AF17 = 0,
0,
IF(AF15 = (AE$7+AF$7),1,0))</f>
        <v>1</v>
      </c>
      <c r="AG18" s="130"/>
      <c r="AH18" s="114">
        <f>IF(AH17 = 0,
0,
IF(AH15 = (AH$7+AI$7),1,0))</f>
        <v>0</v>
      </c>
      <c r="AI18" s="114">
        <f>IF(AI17 = 0,
0,
IF(AI15 = (AH$7+AI$7),1,0))</f>
        <v>0</v>
      </c>
      <c r="AJ18" s="130"/>
      <c r="AK18" s="131">
        <f>SUM(C18:AI18)</f>
        <v>4</v>
      </c>
      <c r="AL18" s="119"/>
    </row>
    <row r="19" spans="1:38" ht="12.75" customHeight="1" x14ac:dyDescent="0.2">
      <c r="A19" s="201">
        <f>RANK(AL19,$AL$11:$AL$98,)</f>
        <v>3</v>
      </c>
      <c r="B19" s="202" t="s">
        <v>62</v>
      </c>
      <c r="C19" s="214">
        <v>7</v>
      </c>
      <c r="D19" s="215"/>
      <c r="E19" s="304">
        <v>6</v>
      </c>
      <c r="F19" s="215"/>
      <c r="G19" s="305"/>
      <c r="H19" s="218">
        <v>6</v>
      </c>
      <c r="I19" s="304"/>
      <c r="J19" s="218">
        <v>7</v>
      </c>
      <c r="K19" s="220">
        <v>5</v>
      </c>
      <c r="L19" s="218"/>
      <c r="M19" s="219">
        <v>7</v>
      </c>
      <c r="N19" s="215"/>
      <c r="O19" s="219">
        <v>6</v>
      </c>
      <c r="P19" s="215"/>
      <c r="Q19" s="217">
        <v>6</v>
      </c>
      <c r="R19" s="222"/>
      <c r="S19" s="223">
        <f>SUM(C20:R20)</f>
        <v>32</v>
      </c>
      <c r="T19" s="214"/>
      <c r="U19" s="218">
        <v>7</v>
      </c>
      <c r="V19" s="219"/>
      <c r="W19" s="218">
        <v>6</v>
      </c>
      <c r="X19" s="241">
        <v>7</v>
      </c>
      <c r="Y19" s="215"/>
      <c r="Z19" s="217">
        <v>6</v>
      </c>
      <c r="AA19" s="222"/>
      <c r="AB19" s="224">
        <f>SUM(T20:AA20)</f>
        <v>48</v>
      </c>
      <c r="AC19" s="217">
        <v>5</v>
      </c>
      <c r="AD19" s="218"/>
      <c r="AE19" s="220"/>
      <c r="AF19" s="234">
        <v>6</v>
      </c>
      <c r="AG19" s="224">
        <f>SUM(AC20:AF20)</f>
        <v>44</v>
      </c>
      <c r="AH19" s="307">
        <v>6</v>
      </c>
      <c r="AI19" s="225"/>
      <c r="AJ19" s="224">
        <f>AH20</f>
        <v>3</v>
      </c>
      <c r="AK19" s="226">
        <f>MAX($AL$11:$AL$98) - AL19</f>
        <v>10</v>
      </c>
      <c r="AL19" s="224">
        <f>$S19+$AB19+$AG19+$AJ19</f>
        <v>127</v>
      </c>
    </row>
    <row r="20" spans="1:38" s="27" customFormat="1" ht="12.75" hidden="1" customHeight="1" x14ac:dyDescent="0.2">
      <c r="A20" s="113" t="e">
        <f>RANK(AL20,$AL$11:$AL$98,)</f>
        <v>#N/A</v>
      </c>
      <c r="B20" s="95"/>
      <c r="C20" s="114">
        <f>(IF($C19&lt;&gt;"",($C$7*$O$105)+IF($C$7=4,($O$103)+IF($C19=$C$7+$D$7,$O$104,0),0),0)+IF($D19&lt;&gt;"",($D$7*$O$105)+IF($D$7=4,($O$103)+IF($D19=$C$7+$D$7,$O$104,0),0),0))</f>
        <v>0</v>
      </c>
      <c r="D20" s="132"/>
      <c r="E20" s="121">
        <f>(IF($E19&lt;&gt;"",($E$7*$O$105)+IF($E$7=4,($O$103)+IF($E19=$E$7+$F$7,$O$104,0),0),0)+IF($F19&lt;&gt;"",($F$7*$O$105)+IF($F$7=4,($O$103)+IF($F19=$E$7+$F$7,$O$104,0),0),0))</f>
        <v>9</v>
      </c>
      <c r="F20" s="132"/>
      <c r="G20" s="116">
        <f>(IF($G19&lt;&gt;"",($G$7*$O$105)+IF($G$7=4,($O$103)+IF($G19=$G$7+$H$7,$O$104,0),0),0)+IF($H19&lt;&gt;"",($H$7*$O$105)+IF($H$7=4,($O$103)+IF($H19=$G$7+$H$7,$O$104,0),0),0))</f>
        <v>9</v>
      </c>
      <c r="H20" s="132"/>
      <c r="I20" s="116">
        <f>(IF($I19&lt;&gt;"",($I$7*$O$105)+IF($I$7=4,($O$103)+IF($I19=$I$7+$J$7,$O$104,0),0),0)+IF($J19&lt;&gt;"",($J$7*$O$105)+IF($J$7=4,($O$103)+IF($J19=$I$7+$J$7,$O$104,0),0),0))</f>
        <v>0</v>
      </c>
      <c r="J20" s="133"/>
      <c r="K20" s="134">
        <f>(IF($K19&lt;&gt;"",($K$7*$O$105)+IF($K$7=4,($O$103)+IF($K19=$K$7+$L$7,$O$104,0),0),0)+IF($L19&lt;&gt;"",($L$7*$O$105)+IF($L$7=4,($O$103)+IF($L19=$K$7+$L$7,$O$104,0),0),0))</f>
        <v>1</v>
      </c>
      <c r="L20" s="132"/>
      <c r="M20" s="116">
        <f>(IF($M19&lt;&gt;"",($M$7*$O$105)+IF($M$7=4,($O$103)+IF($M19=$M$7+$N$7,$O$104,0),0),0)+IF($N19&lt;&gt;"",($N$7*$O$105)+IF($N$7=4,($O$103)+IF($N19=$M$7+$N$7,$O$104,0),0),0))</f>
        <v>2</v>
      </c>
      <c r="N20" s="132"/>
      <c r="O20" s="116">
        <f>(IF($O19&lt;&gt;"",($O$7*$O$105)+IF($O$7=4,($O$103)+IF($O19=$O$7+$P$7,$O$104,0),0),0)+IF($P19&lt;&gt;"",($P$7*$O$105)+IF($P$7=4,($O$103)+IF($P19=$O$7+$P$7,$O$104,0),0),0))</f>
        <v>2</v>
      </c>
      <c r="P20" s="132"/>
      <c r="Q20" s="116">
        <f>(IF($Q19&lt;&gt;"",($Q$7*$O$105)+IF($Q$7=4,($O$103)+IF($Q19=$Q$7+$R$7,$O$104,0),0),0)+IF($R19&lt;&gt;"",($R$7*$O$105)+IF($R$7=4,($O$103)+IF($R19=$Q$7+$R$7,$O$104,0),0),0))</f>
        <v>9</v>
      </c>
      <c r="R20" s="135"/>
      <c r="S20" s="136"/>
      <c r="T20" s="122">
        <f>(IF($T19&lt;&gt;"",($T$7*$P$105)+IF($T$7=4,($P$103)+IF($T19=$T$7+$U$7,$P$104,0),0),0)+IF($U19&lt;&gt;"",($U$7*$P$105)+IF($U$7=4,($P$103)+IF($U19=$T$7+$U$7,$P$104,0),0),0))</f>
        <v>2</v>
      </c>
      <c r="U20" s="122"/>
      <c r="V20" s="122">
        <f>(IF($V19&lt;&gt;"",($V$7*$P$105)+IF($V$7=4,($P$103)+IF($V19=$V$7+$W$7,$P$104,0),0),0)+IF($W19&lt;&gt;"",($W$7*$P$105)+IF($W$7=4,($P$103)+IF($W19=$V$7+$W$7,$P$104,0),0),0))</f>
        <v>14</v>
      </c>
      <c r="W20" s="122"/>
      <c r="X20" s="122">
        <f>(IF($X19&lt;&gt;"",($X$7*$P$105)+IF($X$7=4,($P$103)+IF($X19=$X$7+$Y$7,$P$104,0),0),0)+IF($Y19&lt;&gt;"",($Y$7*$P$105)+IF($Y$7=4,($P$103)+IF($Y19=$X$7+$Y$7,$P$104,0),0),0))</f>
        <v>18</v>
      </c>
      <c r="Y20" s="59"/>
      <c r="Z20" s="122">
        <f>(IF($Z19&lt;&gt;"",($Z$7*$P$105)+IF($Z$7=4,($P$103)+IF($Z19=$Z$7+$AA$7,$P$104,0),0),0)+IF($AA19&lt;&gt;"",($AA$7*$P$105)+IF($AA$7=4,($P$103)+IF($AA19=$Z$7+$AA$7,$P$104,0),0),0))</f>
        <v>14</v>
      </c>
      <c r="AA20" s="60"/>
      <c r="AB20" s="136"/>
      <c r="AC20" s="122">
        <f>(IF($AC19&lt;&gt;"",($AC$7*$Q$105)+IF($AC$7=4,($Q$103)+IF($AC19=$AC$7+$AD$7,$Q$104,0),0),0)+IF($AD19&lt;&gt;"",($AD$7*$Q$105)+IF($AD$7=4,($Q$103)+IF($AD19=$AC$7+$AD$7,$Q$104,0),0),0))</f>
        <v>19</v>
      </c>
      <c r="AD20" s="122"/>
      <c r="AE20" s="122">
        <f>(IF($AE19&lt;&gt;"",($AE$7*$Q$105)+IF($AE$7=4,($Q$103)+IF($AE19=$AE$7+$AF$7,$Q$104,0),0),0)+IF($AF19&lt;&gt;"",($AF$7*$Q$105)+IF($AF$7=4,($Q$103)+IF($AF19=$AE$7+$AF$7,$Q$104,0),0),0))</f>
        <v>25</v>
      </c>
      <c r="AF20" s="82"/>
      <c r="AG20" s="136"/>
      <c r="AH20" s="122">
        <f>(IF($AH19&lt;&gt;"",($AH$7*$Q$105)+IF($AH$7=4,($R$103)+IF($AH19=$AH$7+$AI$7,$R$104,0),0),0)+IF($AI19&lt;&gt;"",($AI$7*$R$105)+IF($AI$7=4,($R$103)+IF($AI19=$AH$7+$AI$7,$R$104,0),0),0))</f>
        <v>3</v>
      </c>
      <c r="AI20" s="128"/>
      <c r="AJ20" s="136"/>
      <c r="AK20" s="137">
        <f>MAX($AL$11:$AL$98) - AL20</f>
        <v>137</v>
      </c>
      <c r="AL20" s="117"/>
    </row>
    <row r="21" spans="1:38" s="27" customFormat="1" ht="12.75" hidden="1" customHeight="1" x14ac:dyDescent="0.2">
      <c r="A21" s="113"/>
      <c r="B21" s="120" t="s">
        <v>52</v>
      </c>
      <c r="C21" s="114">
        <f>IF(ISBLANK(C19),
0,
IF(C$7= 4, 1, 0))</f>
        <v>0</v>
      </c>
      <c r="D21" s="114">
        <f>IF(ISBLANK(D19),
0,
IF(D$7 = 4, 1, 0))</f>
        <v>0</v>
      </c>
      <c r="E21" s="129">
        <f>IF(ISBLANK(E19),
0,
IF(E$7= 4, 1, 0))</f>
        <v>1</v>
      </c>
      <c r="F21" s="114">
        <f>IF(ISBLANK(F19),
0,
IF(F$7 = 4, 1, 0))</f>
        <v>0</v>
      </c>
      <c r="G21" s="114">
        <f>IF(ISBLANK(G19),
0,
IF(G$7= 4, 1, 0))</f>
        <v>0</v>
      </c>
      <c r="H21" s="114">
        <f>IF(ISBLANK(H19),
0,
IF(H$7 = 4, 1, 0))</f>
        <v>1</v>
      </c>
      <c r="I21" s="114">
        <f>IF(ISBLANK(I19),
0,
IF(I$7= 4, 1, 0))</f>
        <v>0</v>
      </c>
      <c r="J21" s="114">
        <f>IF(ISBLANK(J19),
0,
IF(J$7 = 4, 1, 0))</f>
        <v>0</v>
      </c>
      <c r="K21" s="114">
        <f>IF(ISBLANK(K19),
0,
IF(K$7= 4, 1, 0))</f>
        <v>0</v>
      </c>
      <c r="L21" s="114">
        <f>IF(ISBLANK(L19),
0,
IF(L$7 = 4, 1, 0))</f>
        <v>0</v>
      </c>
      <c r="M21" s="114">
        <f>IF(ISBLANK(M19),
0,
IF(M$7= 4, 1, 0))</f>
        <v>0</v>
      </c>
      <c r="N21" s="114">
        <f>IF(ISBLANK(N19),
0,
IF(N$7 = 4, 1, 0))</f>
        <v>0</v>
      </c>
      <c r="O21" s="114">
        <f>IF(ISBLANK(O19),
0,
IF(O$7= 4, 1, 0))</f>
        <v>0</v>
      </c>
      <c r="P21" s="114">
        <f>IF(ISBLANK(P19),
0,
IF(P$7 = 4, 1, 0))</f>
        <v>0</v>
      </c>
      <c r="Q21" s="114">
        <f>IF(ISBLANK(Q19),
0,
IF(Q$7= 4, 1, 0))</f>
        <v>1</v>
      </c>
      <c r="R21" s="114">
        <f>IF(ISBLANK(R19),
0,
IF(R$7 = 4, 1, 0))</f>
        <v>0</v>
      </c>
      <c r="S21" s="130"/>
      <c r="T21" s="114">
        <f>IF(ISBLANK(T19),
0,
IF(T$7= 4, 1, 0))</f>
        <v>0</v>
      </c>
      <c r="U21" s="114">
        <f>IF(ISBLANK(U19),
0,
IF(U$7 = 4, 1, 0))</f>
        <v>0</v>
      </c>
      <c r="V21" s="114">
        <f>IF(ISBLANK(V19),
0,
IF(V$7= 4, 1, 0))</f>
        <v>0</v>
      </c>
      <c r="W21" s="114">
        <f>IF(ISBLANK(W19),
0,
IF(W$7 = 4, 1, 0))</f>
        <v>1</v>
      </c>
      <c r="X21" s="114">
        <f>IF(ISBLANK(X19),
0,
IF(X$7= 4, 1, 0))</f>
        <v>1</v>
      </c>
      <c r="Y21" s="114">
        <f>IF(ISBLANK(Y19),
0,
IF(Y$7 = 4, 1, 0))</f>
        <v>0</v>
      </c>
      <c r="Z21" s="114">
        <f>IF(ISBLANK(Z19),
0,
IF(Z$7= 4, 1, 0))</f>
        <v>1</v>
      </c>
      <c r="AA21" s="114">
        <f>IF(ISBLANK(AA19),
0,
IF(AA$7 = 4, 1, 0))</f>
        <v>0</v>
      </c>
      <c r="AB21" s="130"/>
      <c r="AC21" s="114">
        <f>IF(ISBLANK(AC19),
0,
IF(AC$7= 4, 1, 0))</f>
        <v>1</v>
      </c>
      <c r="AD21" s="114">
        <f>IF(ISBLANK(AD19),
0,
IF(AD$7 = 4, 1, 0))</f>
        <v>0</v>
      </c>
      <c r="AE21" s="114">
        <f>IF(ISBLANK(AE19),
0,
IF(AE$7= 4, 1, 0))</f>
        <v>0</v>
      </c>
      <c r="AF21" s="114">
        <f>IF(ISBLANK(AF19),
0,
IF(AF$7 = 4, 1, 0))</f>
        <v>1</v>
      </c>
      <c r="AG21" s="130"/>
      <c r="AH21" s="114">
        <f>IF(ISBLANK(AH19),
0,
IF(AH$7= 4, 1, 0))</f>
        <v>0</v>
      </c>
      <c r="AI21" s="114">
        <f>IF(ISBLANK(AI19),
0,
IF(AI$7 = 4, 1, 0))</f>
        <v>0</v>
      </c>
      <c r="AJ21" s="130"/>
      <c r="AK21" s="131">
        <f>SUM(C21:AI21)</f>
        <v>8</v>
      </c>
      <c r="AL21" s="119"/>
    </row>
    <row r="22" spans="1:38" s="27" customFormat="1" ht="12.75" hidden="1" customHeight="1" x14ac:dyDescent="0.2">
      <c r="A22" s="113"/>
      <c r="B22" s="120" t="s">
        <v>53</v>
      </c>
      <c r="C22" s="114">
        <f>IF(C21 = 0,
0,
IF(C19 = (C$7+D$7),1,0))</f>
        <v>0</v>
      </c>
      <c r="D22" s="114">
        <f>IF(D21 = 0,
0,
IF(D19 = (C$7+D$7),1,0))</f>
        <v>0</v>
      </c>
      <c r="E22" s="129">
        <f>IF(E21 = 0,
0,
IF(E19 = (E$7+F$7),1,0))</f>
        <v>0</v>
      </c>
      <c r="F22" s="114">
        <f>IF(F21 = 0,
0,
IF(F19 = (E$7+F$7),1,0))</f>
        <v>0</v>
      </c>
      <c r="G22" s="114">
        <f>IF(G21 = 0,
0,
IF(G19 = (G$7+H$7),1,0))</f>
        <v>0</v>
      </c>
      <c r="H22" s="114">
        <f>IF(H21 = 0,
0,
IF(H19 = (G$7+H$7),1,0))</f>
        <v>0</v>
      </c>
      <c r="I22" s="114">
        <f>IF(I21 = 0,
0,
IF(I19 = (I$7+J$7),1,0))</f>
        <v>0</v>
      </c>
      <c r="J22" s="114">
        <f>IF(J21 = 0,
0,
IF(J19 = (I$7+J$7),1,0))</f>
        <v>0</v>
      </c>
      <c r="K22" s="114">
        <f>IF(K21 = 0,
0,
IF(K19 = (K$7+L$7),1,0))</f>
        <v>0</v>
      </c>
      <c r="L22" s="114">
        <f>IF(L21 = 0,
0,
IF(L19 = (K$7+L$7),1,0))</f>
        <v>0</v>
      </c>
      <c r="M22" s="114">
        <f>IF(M21 = 0,
0,
IF(M19 = (M$7+N$7),1,0))</f>
        <v>0</v>
      </c>
      <c r="N22" s="114">
        <f>IF(N21 = 0,
0,
IF(N19 = (M$7+N$7),1,0))</f>
        <v>0</v>
      </c>
      <c r="O22" s="114">
        <f>IF(O21 = 0,
0,
IF(O19 = (O$7+P$7),1,0))</f>
        <v>0</v>
      </c>
      <c r="P22" s="114">
        <f>IF(P21 = 0,
0,
IF(P19 = (O$7+P$7),1,0))</f>
        <v>0</v>
      </c>
      <c r="Q22" s="114">
        <f>IF(Q21 = 0,
0,
IF(Q19 = (Q$7+R$7),1,0))</f>
        <v>0</v>
      </c>
      <c r="R22" s="114">
        <f>IF(R21 = 0,
0,
IF(R19 = (Q$7+R$7),1,0))</f>
        <v>0</v>
      </c>
      <c r="S22" s="130"/>
      <c r="T22" s="114">
        <f>IF(T21 = 0,
0,
IF(T19 = (T$7+U$7),1,0))</f>
        <v>0</v>
      </c>
      <c r="U22" s="114">
        <f>IF(U21 = 0,
0,
IF(U19 = (T$7+U$7),1,0))</f>
        <v>0</v>
      </c>
      <c r="V22" s="114">
        <f>IF(V21 = 0,
0,
IF(V19 = (V$7+W$7),1,0))</f>
        <v>0</v>
      </c>
      <c r="W22" s="114">
        <f>IF(W21 = 0,
0,
IF(W19 = (V$7+W$7),1,0))</f>
        <v>0</v>
      </c>
      <c r="X22" s="114">
        <f>IF(X21 = 0,
0,
IF(X19 = (X$7+Y$7),1,0))</f>
        <v>1</v>
      </c>
      <c r="Y22" s="114">
        <f>IF(Y21 = 0,
0,
IF(Y19 = (X$7+Y$7),1,0))</f>
        <v>0</v>
      </c>
      <c r="Z22" s="114">
        <f>IF(Z21 = 0,
0,
IF(Z19 = (Z$7+AA$7),1,0))</f>
        <v>0</v>
      </c>
      <c r="AA22" s="114">
        <f>IF(AA21 = 0,
0,
IF(AA19 = (Z$7+AA$7),1,0))</f>
        <v>0</v>
      </c>
      <c r="AB22" s="130"/>
      <c r="AC22" s="114">
        <f>IF(AC21 = 0,
0,
IF(AC19 = (AC$7+AD$7),1,0))</f>
        <v>0</v>
      </c>
      <c r="AD22" s="114">
        <f>IF(AD21 = 0,
0,
IF(AD19 = (AC$7+AD$7),1,0))</f>
        <v>0</v>
      </c>
      <c r="AE22" s="114">
        <f>IF(AE21 = 0,
0,
IF(AE19 = (AE$7+AF$7),1,0))</f>
        <v>0</v>
      </c>
      <c r="AF22" s="114">
        <f>IF(AF21 = 0,
0,
IF(AF19 = (AE$7+AF$7),1,0))</f>
        <v>1</v>
      </c>
      <c r="AG22" s="130"/>
      <c r="AH22" s="114">
        <f>IF(AH21 = 0,
0,
IF(AH19 = (AH$7+AI$7),1,0))</f>
        <v>0</v>
      </c>
      <c r="AI22" s="114">
        <f>IF(AI21 = 0,
0,
IF(AI19 = (AH$7+AI$7),1,0))</f>
        <v>0</v>
      </c>
      <c r="AJ22" s="130"/>
      <c r="AK22" s="131">
        <f>SUM(C22:AI22)</f>
        <v>2</v>
      </c>
      <c r="AL22" s="119"/>
    </row>
    <row r="23" spans="1:38" s="27" customFormat="1" ht="12.75" customHeight="1" x14ac:dyDescent="0.2">
      <c r="A23" s="113">
        <f>RANK(AL23,$AL$11:$AL$98,)</f>
        <v>4</v>
      </c>
      <c r="B23" s="81" t="s">
        <v>71</v>
      </c>
      <c r="C23" s="46">
        <v>5</v>
      </c>
      <c r="D23" s="45"/>
      <c r="E23" s="44">
        <v>6</v>
      </c>
      <c r="F23" s="45"/>
      <c r="G23" s="48"/>
      <c r="H23" s="242">
        <v>7</v>
      </c>
      <c r="I23" s="44"/>
      <c r="J23" s="47">
        <v>6</v>
      </c>
      <c r="K23" s="49">
        <v>5</v>
      </c>
      <c r="L23" s="47"/>
      <c r="M23" s="44"/>
      <c r="N23" s="45">
        <v>7</v>
      </c>
      <c r="O23" s="44">
        <v>5</v>
      </c>
      <c r="P23" s="45"/>
      <c r="Q23" s="48"/>
      <c r="R23" s="50">
        <v>6</v>
      </c>
      <c r="S23" s="118">
        <f>SUM(C24:R24)</f>
        <v>35</v>
      </c>
      <c r="T23" s="46"/>
      <c r="U23" s="47">
        <v>7</v>
      </c>
      <c r="V23" s="44"/>
      <c r="W23" s="47">
        <v>7</v>
      </c>
      <c r="X23" s="49">
        <v>6</v>
      </c>
      <c r="Y23" s="45"/>
      <c r="Z23" s="48">
        <v>6</v>
      </c>
      <c r="AA23" s="50"/>
      <c r="AB23" s="118">
        <f>SUM(T24:AA24)</f>
        <v>44</v>
      </c>
      <c r="AC23" s="48">
        <v>7</v>
      </c>
      <c r="AD23" s="47"/>
      <c r="AE23" s="49"/>
      <c r="AF23" s="47">
        <v>7</v>
      </c>
      <c r="AG23" s="118">
        <f>SUM(AC24:AF24)</f>
        <v>38</v>
      </c>
      <c r="AH23" s="306">
        <v>6</v>
      </c>
      <c r="AI23" s="57"/>
      <c r="AJ23" s="118">
        <f>AH24</f>
        <v>3</v>
      </c>
      <c r="AK23" s="107">
        <f>MAX($AL$11:$AL$98) - AL23</f>
        <v>17</v>
      </c>
      <c r="AL23" s="118">
        <f>$S23+$AB23+$AG23+$AJ23</f>
        <v>120</v>
      </c>
    </row>
    <row r="24" spans="1:38" s="27" customFormat="1" ht="12.75" hidden="1" customHeight="1" x14ac:dyDescent="0.2">
      <c r="A24" s="113" t="e">
        <f>RANK(AL24,$AL$11:$AL$98,)</f>
        <v>#N/A</v>
      </c>
      <c r="B24" s="89"/>
      <c r="C24" s="129">
        <f>(IF($C23&lt;&gt;"",($C$7*$O$105)+IF($C$7=4,($O$103)+IF($C23=$C$7+$D$7,$O$104,0),0),0)+IF($D23&lt;&gt;"",($D$7*$O$105)+IF($D$7=4,($O$103)+IF($D23=$C$7+$D$7,$O$104,0),0),0))</f>
        <v>0</v>
      </c>
      <c r="D24" s="138"/>
      <c r="E24" s="121">
        <f>(IF($E23&lt;&gt;"",($E$7*$O$105)+IF($E$7=4,($O$103)+IF($E23=$E$7+$F$7,$O$104,0),0),0)+IF($F23&lt;&gt;"",($F$7*$O$105)+IF($F$7=4,($O$103)+IF($F23=$E$7+$F$7,$O$104,0),0),0))</f>
        <v>9</v>
      </c>
      <c r="F24" s="138"/>
      <c r="G24" s="121">
        <f>(IF($G23&lt;&gt;"",($G$7*$O$105)+IF($G$7=4,($O$103)+IF($G23=$G$7+$H$7,$O$104,0),0),0)+IF($H23&lt;&gt;"",($H$7*$O$105)+IF($H$7=4,($O$103)+IF($H23=$G$7+$H$7,$O$104,0),0),0))</f>
        <v>11</v>
      </c>
      <c r="H24" s="138"/>
      <c r="I24" s="121">
        <f>(IF($I23&lt;&gt;"",($I$7*$O$105)+IF($I$7=4,($O$103)+IF($I23=$I$7+$J$7,$O$104,0),0),0)+IF($J23&lt;&gt;"",($J$7*$O$105)+IF($J$7=4,($O$103)+IF($J23=$I$7+$J$7,$O$104,0),0),0))</f>
        <v>0</v>
      </c>
      <c r="J24" s="139"/>
      <c r="K24" s="140">
        <f>(IF($K23&lt;&gt;"",($K$7*$O$105)+IF($K$7=4,($O$103)+IF($K23=$K$7+$L$7,$O$104,0),0),0)+IF($L23&lt;&gt;"",($L$7*$O$105)+IF($L$7=4,($O$103)+IF($L23=$K$7+$L$7,$O$104,0),0),0))</f>
        <v>1</v>
      </c>
      <c r="L24" s="138"/>
      <c r="M24" s="121">
        <f>(IF($M23&lt;&gt;"",($M$7*$O$105)+IF($M$7=4,($O$103)+IF($M23=$M$7+$N$7,$O$104,0),0),0)+IF($N23&lt;&gt;"",($N$7*$O$105)+IF($N$7=4,($O$103)+IF($N23=$M$7+$N$7,$O$104,0),0),0))</f>
        <v>9</v>
      </c>
      <c r="N24" s="138"/>
      <c r="O24" s="121">
        <f>(IF($O23&lt;&gt;"",($O$7*$O$105)+IF($O$7=4,($O$103)+IF($O23=$O$7+$P$7,$O$104,0),0),0)+IF($P23&lt;&gt;"",($P$7*$O$105)+IF($P$7=4,($O$103)+IF($P23=$O$7+$P$7,$O$104,0),0),0))</f>
        <v>2</v>
      </c>
      <c r="P24" s="138"/>
      <c r="Q24" s="121">
        <f>(IF($Q23&lt;&gt;"",($Q$7*$O$105)+IF($Q$7=4,($O$103)+IF($Q23=$Q$7+$R$7,$O$104,0),0),0)+IF($R23&lt;&gt;"",($R$7*$O$105)+IF($R$7=4,($O$103)+IF($R23=$Q$7+$R$7,$O$104,0),0),0))</f>
        <v>3</v>
      </c>
      <c r="R24" s="141"/>
      <c r="S24" s="136"/>
      <c r="T24" s="122">
        <f>(IF($T23&lt;&gt;"",($T$7*$P$105)+IF($T$7=4,($P$103)+IF($T23=$T$7+$U$7,$P$104,0),0),0)+IF($U23&lt;&gt;"",($U$7*$P$105)+IF($U$7=4,($P$103)+IF($U23=$T$7+$U$7,$P$104,0),0),0))</f>
        <v>2</v>
      </c>
      <c r="U24" s="122"/>
      <c r="V24" s="122">
        <f>(IF($V23&lt;&gt;"",($V$7*$P$105)+IF($V$7=4,($P$103)+IF($V23=$V$7+$W$7,$P$104,0),0),0)+IF($W23&lt;&gt;"",($W$7*$P$105)+IF($W$7=4,($P$103)+IF($W23=$V$7+$W$7,$P$104,0),0),0))</f>
        <v>14</v>
      </c>
      <c r="W24" s="122"/>
      <c r="X24" s="122">
        <f>(IF($X23&lt;&gt;"",($X$7*$P$105)+IF($X$7=4,($P$103)+IF($X23=$X$7+$Y$7,$P$104,0),0),0)+IF($Y23&lt;&gt;"",($Y$7*$P$105)+IF($Y$7=4,($P$103)+IF($Y23=$X$7+$Y$7,$P$104,0),0),0))</f>
        <v>14</v>
      </c>
      <c r="Y24" s="59"/>
      <c r="Z24" s="129">
        <f>(IF($Z23&lt;&gt;"",($Z$7*$P$105)+IF($Z$7=4,($P$103)+IF($Z23=$Z$7+$AA$7,$P$104,0),0),0)+IF($AA23&lt;&gt;"",($AA$7*$P$105)+IF($AA$7=4,($P$103)+IF($AA23=$Z$7+$AA$7,$P$104,0),0),0))</f>
        <v>14</v>
      </c>
      <c r="AA24" s="60"/>
      <c r="AB24" s="136"/>
      <c r="AC24" s="122">
        <f>(IF($AC23&lt;&gt;"",($AC$7*$Q$105)+IF($AC$7=4,($Q$103)+IF($AC23=$AC$7+$AD$7,$Q$104,0),0),0)+IF($AD23&lt;&gt;"",($AD$7*$Q$105)+IF($AD$7=4,($Q$103)+IF($AD23=$AC$7+$AD$7,$Q$104,0),0),0))</f>
        <v>19</v>
      </c>
      <c r="AD24" s="122"/>
      <c r="AE24" s="122">
        <f>(IF($AE23&lt;&gt;"",($AE$7*$Q$105)+IF($AE$7=4,($Q$103)+IF($AE23=$AE$7+$AF$7,$Q$104,0),0),0)+IF($AF23&lt;&gt;"",($AF$7*$Q$105)+IF($AF$7=4,($Q$103)+IF($AF23=$AE$7+$AF$7,$Q$104,0),0),0))</f>
        <v>19</v>
      </c>
      <c r="AF24" s="82"/>
      <c r="AG24" s="136"/>
      <c r="AH24" s="122">
        <f>(IF($AH23&lt;&gt;"",($AH$7*$Q$105)+IF($AH$7=4,($R$103)+IF($AH23=$AH$7+$AI$7,$R$104,0),0),0)+IF($AI23&lt;&gt;"",($AI$7*$R$105)+IF($AI$7=4,($R$103)+IF($AI23=$AH$7+$AI$7,$R$104,0),0),0))</f>
        <v>3</v>
      </c>
      <c r="AI24" s="128"/>
      <c r="AJ24" s="136"/>
      <c r="AK24" s="137">
        <f>MAX($AL$11:$AL$98) - AL24</f>
        <v>137</v>
      </c>
      <c r="AL24" s="117"/>
    </row>
    <row r="25" spans="1:38" s="27" customFormat="1" hidden="1" x14ac:dyDescent="0.2">
      <c r="A25" s="96"/>
      <c r="B25" s="120" t="s">
        <v>52</v>
      </c>
      <c r="C25" s="114">
        <f>IF(ISBLANK(C23),
0,
IF(C$7= 4, 1, 0))</f>
        <v>0</v>
      </c>
      <c r="D25" s="114">
        <f>IF(ISBLANK(D23),
0,
IF(D$7 = 4, 1, 0))</f>
        <v>0</v>
      </c>
      <c r="E25" s="114">
        <f>IF(ISBLANK(E23),
0,
IF(E$7= 4, 1, 0))</f>
        <v>1</v>
      </c>
      <c r="F25" s="114">
        <f>IF(ISBLANK(F23),
0,
IF(F$7 = 4, 1, 0))</f>
        <v>0</v>
      </c>
      <c r="G25" s="114">
        <f>IF(ISBLANK(G23),
0,
IF(G$7= 4, 1, 0))</f>
        <v>0</v>
      </c>
      <c r="H25" s="114">
        <f>IF(ISBLANK(H23),
0,
IF(H$7 = 4, 1, 0))</f>
        <v>1</v>
      </c>
      <c r="I25" s="114">
        <f>IF(ISBLANK(I23),
0,
IF(I$7= 4, 1, 0))</f>
        <v>0</v>
      </c>
      <c r="J25" s="114">
        <f>IF(ISBLANK(J23),
0,
IF(J$7 = 4, 1, 0))</f>
        <v>0</v>
      </c>
      <c r="K25" s="114">
        <f>IF(ISBLANK(K23),
0,
IF(K$7= 4, 1, 0))</f>
        <v>0</v>
      </c>
      <c r="L25" s="114">
        <f>IF(ISBLANK(L23),
0,
IF(L$7 = 4, 1, 0))</f>
        <v>0</v>
      </c>
      <c r="M25" s="114">
        <f>IF(ISBLANK(M23),
0,
IF(M$7= 4, 1, 0))</f>
        <v>0</v>
      </c>
      <c r="N25" s="129">
        <f>IF(ISBLANK(N23),
0,
IF(N$7 = 4, 1, 0))</f>
        <v>1</v>
      </c>
      <c r="O25" s="114">
        <f>IF(ISBLANK(O23),
0,
IF(O$7= 4, 1, 0))</f>
        <v>0</v>
      </c>
      <c r="P25" s="114">
        <f>IF(ISBLANK(P23),
0,
IF(P$7 = 4, 1, 0))</f>
        <v>0</v>
      </c>
      <c r="Q25" s="114">
        <f>IF(ISBLANK(Q23),
0,
IF(Q$7= 4, 1, 0))</f>
        <v>0</v>
      </c>
      <c r="R25" s="114">
        <f>IF(ISBLANK(R23),
0,
IF(R$7 = 4, 1, 0))</f>
        <v>0</v>
      </c>
      <c r="S25" s="130"/>
      <c r="T25" s="114">
        <f>IF(ISBLANK(T23),
0,
IF(T$7= 4, 1, 0))</f>
        <v>0</v>
      </c>
      <c r="U25" s="114">
        <f>IF(ISBLANK(U23),
0,
IF(U$7 = 4, 1, 0))</f>
        <v>0</v>
      </c>
      <c r="V25" s="114">
        <f>IF(ISBLANK(V23),
0,
IF(V$7= 4, 1, 0))</f>
        <v>0</v>
      </c>
      <c r="W25" s="114">
        <f>IF(ISBLANK(W23),
0,
IF(W$7 = 4, 1, 0))</f>
        <v>1</v>
      </c>
      <c r="X25" s="114">
        <f>IF(ISBLANK(X23),
0,
IF(X$7= 4, 1, 0))</f>
        <v>1</v>
      </c>
      <c r="Y25" s="114">
        <f>IF(ISBLANK(Y23),
0,
IF(Y$7 = 4, 1, 0))</f>
        <v>0</v>
      </c>
      <c r="Z25" s="129">
        <f>IF(ISBLANK(Z23),
0,
IF(Z$7= 4, 1, 0))</f>
        <v>1</v>
      </c>
      <c r="AA25" s="114">
        <f>IF(ISBLANK(AA23),
0,
IF(AA$7 = 4, 1, 0))</f>
        <v>0</v>
      </c>
      <c r="AB25" s="130"/>
      <c r="AC25" s="114">
        <f>IF(ISBLANK(AC23),
0,
IF(AC$7= 4, 1, 0))</f>
        <v>1</v>
      </c>
      <c r="AD25" s="114">
        <f>IF(ISBLANK(AD23),
0,
IF(AD$7 = 4, 1, 0))</f>
        <v>0</v>
      </c>
      <c r="AE25" s="114">
        <f>IF(ISBLANK(AE23),
0,
IF(AE$7= 4, 1, 0))</f>
        <v>0</v>
      </c>
      <c r="AF25" s="114">
        <f>IF(ISBLANK(AF23),
0,
IF(AF$7 = 4, 1, 0))</f>
        <v>1</v>
      </c>
      <c r="AG25" s="130"/>
      <c r="AH25" s="114">
        <f>IF(ISBLANK(AH23),
0,
IF(AH$7= 4, 1, 0))</f>
        <v>0</v>
      </c>
      <c r="AI25" s="114">
        <f>IF(ISBLANK(AI23),
0,
IF(AI$7 = 4, 1, 0))</f>
        <v>0</v>
      </c>
      <c r="AJ25" s="130"/>
      <c r="AK25" s="131">
        <f>SUM(C25:AI25)</f>
        <v>8</v>
      </c>
      <c r="AL25" s="119"/>
    </row>
    <row r="26" spans="1:38" s="27" customFormat="1" hidden="1" x14ac:dyDescent="0.2">
      <c r="A26" s="96"/>
      <c r="B26" s="120" t="s">
        <v>53</v>
      </c>
      <c r="C26" s="114">
        <f>IF(C25 = 0,
0,
IF(C23 = (C$7+D$7),1,0))</f>
        <v>0</v>
      </c>
      <c r="D26" s="114">
        <f>IF(D25 = 0,
0,
IF(D23 = (C$7+D$7),1,0))</f>
        <v>0</v>
      </c>
      <c r="E26" s="114">
        <f>IF(E25 = 0,
0,
IF(E23 = (E$7+F$7),1,0))</f>
        <v>0</v>
      </c>
      <c r="F26" s="114">
        <f>IF(F25 = 0,
0,
IF(F23 = (E$7+F$7),1,0))</f>
        <v>0</v>
      </c>
      <c r="G26" s="114">
        <f>IF(G25 = 0,
0,
IF(G23 = (G$7+H$7),1,0))</f>
        <v>0</v>
      </c>
      <c r="H26" s="114">
        <f>IF(H25 = 0,
0,
IF(H23 = (G$7+H$7),1,0))</f>
        <v>1</v>
      </c>
      <c r="I26" s="114">
        <f>IF(I25 = 0,
0,
IF(I23 = (I$7+J$7),1,0))</f>
        <v>0</v>
      </c>
      <c r="J26" s="114">
        <f>IF(J25 = 0,
0,
IF(J23 = (I$7+J$7),1,0))</f>
        <v>0</v>
      </c>
      <c r="K26" s="114">
        <f>IF(K25 = 0,
0,
IF(K23 = (K$7+L$7),1,0))</f>
        <v>0</v>
      </c>
      <c r="L26" s="114">
        <f>IF(L25 = 0,
0,
IF(L23 = (K$7+L$7),1,0))</f>
        <v>0</v>
      </c>
      <c r="M26" s="114">
        <f>IF(M25 = 0,
0,
IF(M23 = (M$7+N$7),1,0))</f>
        <v>0</v>
      </c>
      <c r="N26" s="129">
        <f>IF(N25 = 0,
0,
IF(N23 = (M$7+N$7),1,0))</f>
        <v>0</v>
      </c>
      <c r="O26" s="114">
        <f>IF(O25 = 0,
0,
IF(O23 = (O$7+P$7),1,0))</f>
        <v>0</v>
      </c>
      <c r="P26" s="114">
        <f>IF(P25 = 0,
0,
IF(P23 = (O$7+P$7),1,0))</f>
        <v>0</v>
      </c>
      <c r="Q26" s="114">
        <f>IF(Q25 = 0,
0,
IF(Q23 = (Q$7+R$7),1,0))</f>
        <v>0</v>
      </c>
      <c r="R26" s="114">
        <f>IF(R25 = 0,
0,
IF(R23 = (Q$7+R$7),1,0))</f>
        <v>0</v>
      </c>
      <c r="S26" s="130"/>
      <c r="T26" s="114">
        <f>IF(T25 = 0,
0,
IF(T23 = (T$7+U$7),1,0))</f>
        <v>0</v>
      </c>
      <c r="U26" s="114">
        <f>IF(U25 = 0,
0,
IF(U23 = (T$7+U$7),1,0))</f>
        <v>0</v>
      </c>
      <c r="V26" s="114">
        <f>IF(V25 = 0,
0,
IF(V23 = (V$7+W$7),1,0))</f>
        <v>0</v>
      </c>
      <c r="W26" s="114">
        <f>IF(W25 = 0,
0,
IF(W23 = (V$7+W$7),1,0))</f>
        <v>0</v>
      </c>
      <c r="X26" s="114">
        <f>IF(X25 = 0,
0,
IF(X23 = (X$7+Y$7),1,0))</f>
        <v>0</v>
      </c>
      <c r="Y26" s="114">
        <f>IF(Y25 = 0,
0,
IF(Y23 = (X$7+Y$7),1,0))</f>
        <v>0</v>
      </c>
      <c r="Z26" s="129">
        <f>IF(Z25 = 0,
0,
IF(Z23 = (Z$7+AA$7),1,0))</f>
        <v>0</v>
      </c>
      <c r="AA26" s="114">
        <f>IF(AA25 = 0,
0,
IF(AA23 = (Z$7+AA$7),1,0))</f>
        <v>0</v>
      </c>
      <c r="AB26" s="130"/>
      <c r="AC26" s="114">
        <f>IF(AC25 = 0,
0,
IF(AC23 = (AC$7+AD$7),1,0))</f>
        <v>0</v>
      </c>
      <c r="AD26" s="114">
        <f>IF(AD25 = 0,
0,
IF(AD23 = (AC$7+AD$7),1,0))</f>
        <v>0</v>
      </c>
      <c r="AE26" s="114">
        <f>IF(AE25 = 0,
0,
IF(AE23 = (AE$7+AF$7),1,0))</f>
        <v>0</v>
      </c>
      <c r="AF26" s="114">
        <f>IF(AF25 = 0,
0,
IF(AF23 = (AE$7+AF$7),1,0))</f>
        <v>0</v>
      </c>
      <c r="AG26" s="130"/>
      <c r="AH26" s="114">
        <f>IF(AH25 = 0,
0,
IF(AH23 = (AH$7+AI$7),1,0))</f>
        <v>0</v>
      </c>
      <c r="AI26" s="114">
        <f>IF(AI25 = 0,
0,
IF(AI23 = (AH$7+AI$7),1,0))</f>
        <v>0</v>
      </c>
      <c r="AJ26" s="130"/>
      <c r="AK26" s="131">
        <f>SUM(C26:AI26)</f>
        <v>1</v>
      </c>
      <c r="AL26" s="119"/>
    </row>
    <row r="27" spans="1:38" s="27" customFormat="1" ht="12.75" customHeight="1" x14ac:dyDescent="0.2">
      <c r="A27" s="201">
        <f>RANK(AL27,$AL$11:$AL$98,)</f>
        <v>5</v>
      </c>
      <c r="B27" s="202" t="s">
        <v>72</v>
      </c>
      <c r="C27" s="214">
        <v>5</v>
      </c>
      <c r="D27" s="215"/>
      <c r="E27" s="219">
        <v>6</v>
      </c>
      <c r="F27" s="215"/>
      <c r="G27" s="217">
        <v>6</v>
      </c>
      <c r="H27" s="218"/>
      <c r="I27" s="219"/>
      <c r="J27" s="218">
        <v>7</v>
      </c>
      <c r="K27" s="220">
        <v>5</v>
      </c>
      <c r="L27" s="218"/>
      <c r="M27" s="219"/>
      <c r="N27" s="221">
        <v>6</v>
      </c>
      <c r="O27" s="219">
        <v>7</v>
      </c>
      <c r="P27" s="215"/>
      <c r="Q27" s="217"/>
      <c r="R27" s="222">
        <v>6</v>
      </c>
      <c r="S27" s="224">
        <f>SUM(C28:R28)</f>
        <v>29</v>
      </c>
      <c r="T27" s="214"/>
      <c r="U27" s="218">
        <v>6</v>
      </c>
      <c r="V27" s="219">
        <v>5</v>
      </c>
      <c r="W27" s="218"/>
      <c r="X27" s="220"/>
      <c r="Y27" s="215">
        <v>5</v>
      </c>
      <c r="Z27" s="217">
        <v>6</v>
      </c>
      <c r="AA27" s="222"/>
      <c r="AB27" s="224">
        <f>SUM(T28:AA28)</f>
        <v>19</v>
      </c>
      <c r="AC27" s="217">
        <v>6</v>
      </c>
      <c r="AD27" s="218"/>
      <c r="AE27" s="220"/>
      <c r="AF27" s="234">
        <v>6</v>
      </c>
      <c r="AG27" s="224">
        <f>SUM(AC28:AF28)</f>
        <v>44</v>
      </c>
      <c r="AH27" s="211"/>
      <c r="AI27" s="212">
        <v>5</v>
      </c>
      <c r="AJ27" s="224">
        <f>AH28</f>
        <v>24</v>
      </c>
      <c r="AK27" s="226">
        <f>MAX($AL$11:$AL$98) - AL27</f>
        <v>21</v>
      </c>
      <c r="AL27" s="224">
        <f>$S27+$AB27+$AG27+$AJ27</f>
        <v>116</v>
      </c>
    </row>
    <row r="28" spans="1:38" s="27" customFormat="1" ht="12.75" hidden="1" customHeight="1" x14ac:dyDescent="0.2">
      <c r="A28" s="113" t="e">
        <f>RANK(AL28,$AL$11:$AL$98,)</f>
        <v>#N/A</v>
      </c>
      <c r="B28" s="89"/>
      <c r="C28" s="114">
        <f>(IF($C27&lt;&gt;"",($C$7*$O$105)+IF($C$7=4,($O$103)+IF($C27=$C$7+$D$7,$O$104,0),0),0)+IF($D27&lt;&gt;"",($D$7*$O$105)+IF($D$7=4,($O$103)+IF($D27=$C$7+$D$7,$O$104,0),0),0))</f>
        <v>0</v>
      </c>
      <c r="D28" s="132"/>
      <c r="E28" s="116">
        <f>(IF($E27&lt;&gt;"",($E$7*$O$105)+IF($E$7=4,($O$103)+IF($E27=$E$7+$F$7,$O$104,0),0),0)+IF($F27&lt;&gt;"",($F$7*$O$105)+IF($F$7=4,($O$103)+IF($F27=$E$7+$F$7,$O$104,0),0),0))</f>
        <v>9</v>
      </c>
      <c r="F28" s="132"/>
      <c r="G28" s="116">
        <f>(IF($G27&lt;&gt;"",($G$7*$O$105)+IF($G$7=4,($O$103)+IF($G27=$G$7+$H$7,$O$104,0),0),0)+IF($H27&lt;&gt;"",($H$7*$O$105)+IF($H$7=4,($O$103)+IF($H27=$G$7+$H$7,$O$104,0),0),0))</f>
        <v>3</v>
      </c>
      <c r="H28" s="132"/>
      <c r="I28" s="116">
        <f>(IF($I27&lt;&gt;"",($I$7*$O$105)+IF($I$7=4,($O$103)+IF($I27=$I$7+$J$7,$O$104,0),0),0)+IF($J27&lt;&gt;"",($J$7*$O$105)+IF($J$7=4,($O$103)+IF($J27=$I$7+$J$7,$O$104,0),0),0))</f>
        <v>0</v>
      </c>
      <c r="J28" s="133"/>
      <c r="K28" s="134">
        <f>(IF($K27&lt;&gt;"",($K$7*$O$105)+IF($K$7=4,($O$103)+IF($K27=$K$7+$L$7,$O$104,0),0),0)+IF($L27&lt;&gt;"",($L$7*$O$105)+IF($L$7=4,($O$103)+IF($L27=$K$7+$L$7,$O$104,0),0),0))</f>
        <v>1</v>
      </c>
      <c r="L28" s="132"/>
      <c r="M28" s="116">
        <f>(IF($M27&lt;&gt;"",($M$7*$O$105)+IF($M$7=4,($O$103)+IF($M27=$M$7+$N$7,$O$104,0),0),0)+IF($N27&lt;&gt;"",($N$7*$O$105)+IF($N$7=4,($O$103)+IF($N27=$M$7+$N$7,$O$104,0),0),0))</f>
        <v>11</v>
      </c>
      <c r="N28" s="132"/>
      <c r="O28" s="116">
        <f>(IF($O27&lt;&gt;"",($O$7*$O$105)+IF($O$7=4,($O$103)+IF($O27=$O$7+$P$7,$O$104,0),0),0)+IF($P27&lt;&gt;"",($P$7*$O$105)+IF($P$7=4,($O$103)+IF($P27=$O$7+$P$7,$O$104,0),0),0))</f>
        <v>2</v>
      </c>
      <c r="P28" s="132"/>
      <c r="Q28" s="116">
        <f>(IF($Q27&lt;&gt;"",($Q$7*$O$105)+IF($Q$7=4,($O$103)+IF($Q27=$Q$7+$R$7,$O$104,0),0),0)+IF($R27&lt;&gt;"",($R$7*$O$105)+IF($R$7=4,($O$103)+IF($R27=$Q$7+$R$7,$O$104,0),0),0))</f>
        <v>3</v>
      </c>
      <c r="R28" s="135"/>
      <c r="S28" s="136"/>
      <c r="T28" s="122">
        <f>(IF($T27&lt;&gt;"",($T$7*$P$105)+IF($T$7=4,($P$103)+IF($T27=$T$7+$U$7,$P$104,0),0),0)+IF($U27&lt;&gt;"",($U$7*$P$105)+IF($U$7=4,($P$103)+IF($U27=$T$7+$U$7,$P$104,0),0),0))</f>
        <v>2</v>
      </c>
      <c r="U28" s="122"/>
      <c r="V28" s="122">
        <f>(IF($V27&lt;&gt;"",($V$7*$P$105)+IF($V$7=4,($P$103)+IF($V27=$V$7+$W$7,$P$104,0),0),0)+IF($W27&lt;&gt;"",($W$7*$P$105)+IF($W$7=4,($P$103)+IF($W27=$V$7+$W$7,$P$104,0),0),0))</f>
        <v>0</v>
      </c>
      <c r="W28" s="122"/>
      <c r="X28" s="122">
        <f>(IF($X27&lt;&gt;"",($X$7*$P$105)+IF($X$7=4,($P$103)+IF($X27=$X$7+$Y$7,$P$104,0),0),0)+IF($Y27&lt;&gt;"",($Y$7*$P$105)+IF($Y$7=4,($P$103)+IF($Y27=$X$7+$Y$7,$P$104,0),0),0))</f>
        <v>3</v>
      </c>
      <c r="Y28" s="59"/>
      <c r="Z28" s="129">
        <f>(IF($Z27&lt;&gt;"",($Z$7*$P$105)+IF($Z$7=4,($P$103)+IF($Z27=$Z$7+$AA$7,$P$104,0),0),0)+IF($AA27&lt;&gt;"",($AA$7*$P$105)+IF($AA$7=4,($P$103)+IF($AA27=$Z$7+$AA$7,$P$104,0),0),0))</f>
        <v>14</v>
      </c>
      <c r="AA28" s="60"/>
      <c r="AB28" s="142"/>
      <c r="AC28" s="122">
        <f>(IF($AC27&lt;&gt;"",($AC$7*$Q$105)+IF($AC$7=4,($Q$103)+IF($AC27=$AC$7+$AD$7,$Q$104,0),0),0)+IF($AD27&lt;&gt;"",($AD$7*$Q$105)+IF($AD$7=4,($Q$103)+IF($AD27=$AC$7+$AD$7,$Q$104,0),0),0))</f>
        <v>19</v>
      </c>
      <c r="AD28" s="122"/>
      <c r="AE28" s="122">
        <f>(IF($AE27&lt;&gt;"",($AE$7*$Q$105)+IF($AE$7=4,($Q$103)+IF($AE27=$AE$7+$AF$7,$Q$104,0),0),0)+IF($AF27&lt;&gt;"",($AF$7*$Q$105)+IF($AF$7=4,($Q$103)+IF($AF27=$AE$7+$AF$7,$Q$104,0),0),0))</f>
        <v>25</v>
      </c>
      <c r="AF28" s="82"/>
      <c r="AG28" s="142"/>
      <c r="AH28" s="122">
        <f>(IF($AH27&lt;&gt;"",($AH$7*$Q$105)+IF($AH$7=4,($R$103)+IF($AH27=$AH$7+$AI$7,$R$104,0),0),0)+IF($AI27&lt;&gt;"",($AI$7*$R$105)+IF($AI$7=4,($R$103)+IF($AI27=$AH$7+$AI$7,$R$104,0),0),0))</f>
        <v>24</v>
      </c>
      <c r="AI28" s="128"/>
      <c r="AJ28" s="136"/>
      <c r="AK28" s="137">
        <f>MAX($AL$11:$AL$98) - AL28</f>
        <v>137</v>
      </c>
      <c r="AL28" s="117"/>
    </row>
    <row r="29" spans="1:38" s="27" customFormat="1" hidden="1" x14ac:dyDescent="0.2">
      <c r="A29" s="96"/>
      <c r="B29" s="120" t="s">
        <v>52</v>
      </c>
      <c r="C29" s="114">
        <f>IF(ISBLANK(C27),
0,
IF(C$7= 4, 1, 0))</f>
        <v>0</v>
      </c>
      <c r="D29" s="114">
        <f>IF(ISBLANK(D27),
0,
IF(D$7 = 4, 1, 0))</f>
        <v>0</v>
      </c>
      <c r="E29" s="114">
        <f>IF(ISBLANK(E27),
0,
IF(E$7= 4, 1, 0))</f>
        <v>1</v>
      </c>
      <c r="F29" s="114">
        <f>IF(ISBLANK(F27),
0,
IF(F$7 = 4, 1, 0))</f>
        <v>0</v>
      </c>
      <c r="G29" s="114">
        <f>IF(ISBLANK(G27),
0,
IF(G$7= 4, 1, 0))</f>
        <v>0</v>
      </c>
      <c r="H29" s="114">
        <f>IF(ISBLANK(H27),
0,
IF(H$7 = 4, 1, 0))</f>
        <v>0</v>
      </c>
      <c r="I29" s="114">
        <f>IF(ISBLANK(I27),
0,
IF(I$7= 4, 1, 0))</f>
        <v>0</v>
      </c>
      <c r="J29" s="114">
        <f>IF(ISBLANK(J27),
0,
IF(J$7 = 4, 1, 0))</f>
        <v>0</v>
      </c>
      <c r="K29" s="114">
        <f>IF(ISBLANK(K27),
0,
IF(K$7= 4, 1, 0))</f>
        <v>0</v>
      </c>
      <c r="L29" s="114">
        <f>IF(ISBLANK(L27),
0,
IF(L$7 = 4, 1, 0))</f>
        <v>0</v>
      </c>
      <c r="M29" s="114">
        <f>IF(ISBLANK(M27),
0,
IF(M$7= 4, 1, 0))</f>
        <v>0</v>
      </c>
      <c r="N29" s="114">
        <f>IF(ISBLANK(N27),
0,
IF(N$7 = 4, 1, 0))</f>
        <v>1</v>
      </c>
      <c r="O29" s="114">
        <f>IF(ISBLANK(O27),
0,
IF(O$7= 4, 1, 0))</f>
        <v>0</v>
      </c>
      <c r="P29" s="114">
        <f>IF(ISBLANK(P27),
0,
IF(P$7 = 4, 1, 0))</f>
        <v>0</v>
      </c>
      <c r="Q29" s="114">
        <f>IF(ISBLANK(Q27),
0,
IF(Q$7= 4, 1, 0))</f>
        <v>0</v>
      </c>
      <c r="R29" s="114">
        <f>IF(ISBLANK(R27),
0,
IF(R$7 = 4, 1, 0))</f>
        <v>0</v>
      </c>
      <c r="S29" s="130"/>
      <c r="T29" s="114">
        <f>IF(ISBLANK(T27),
0,
IF(T$7= 4, 1, 0))</f>
        <v>0</v>
      </c>
      <c r="U29" s="114">
        <f>IF(ISBLANK(U27),
0,
IF(U$7 = 4, 1, 0))</f>
        <v>0</v>
      </c>
      <c r="V29" s="114">
        <f>IF(ISBLANK(V27),
0,
IF(V$7= 4, 1, 0))</f>
        <v>0</v>
      </c>
      <c r="W29" s="114">
        <f>IF(ISBLANK(W27),
0,
IF(W$7 = 4, 1, 0))</f>
        <v>0</v>
      </c>
      <c r="X29" s="114">
        <f>IF(ISBLANK(X27),
0,
IF(X$7= 4, 1, 0))</f>
        <v>0</v>
      </c>
      <c r="Y29" s="114">
        <f>IF(ISBLANK(Y27),
0,
IF(Y$7 = 4, 1, 0))</f>
        <v>0</v>
      </c>
      <c r="Z29" s="129">
        <f>IF(ISBLANK(Z27),
0,
IF(Z$7= 4, 1, 0))</f>
        <v>1</v>
      </c>
      <c r="AA29" s="114">
        <f>IF(ISBLANK(AA27),
0,
IF(AA$7 = 4, 1, 0))</f>
        <v>0</v>
      </c>
      <c r="AB29" s="130"/>
      <c r="AC29" s="114">
        <f>IF(ISBLANK(AC27),
0,
IF(AC$7= 4, 1, 0))</f>
        <v>1</v>
      </c>
      <c r="AD29" s="114">
        <f>IF(ISBLANK(AD27),
0,
IF(AD$7 = 4, 1, 0))</f>
        <v>0</v>
      </c>
      <c r="AE29" s="114">
        <f>IF(ISBLANK(AE27),
0,
IF(AE$7= 4, 1, 0))</f>
        <v>0</v>
      </c>
      <c r="AF29" s="114">
        <f>IF(ISBLANK(AF27),
0,
IF(AF$7 = 4, 1, 0))</f>
        <v>1</v>
      </c>
      <c r="AG29" s="130"/>
      <c r="AH29" s="114">
        <f>IF(ISBLANK(AH27),
0,
IF(AH$7= 4, 1, 0))</f>
        <v>0</v>
      </c>
      <c r="AI29" s="114">
        <f>IF(ISBLANK(AI27),
0,
IF(AI$7 = 4, 1, 0))</f>
        <v>1</v>
      </c>
      <c r="AJ29" s="130"/>
      <c r="AK29" s="131">
        <f>SUM(C29:AI29)</f>
        <v>6</v>
      </c>
      <c r="AL29" s="119"/>
    </row>
    <row r="30" spans="1:38" s="27" customFormat="1" hidden="1" x14ac:dyDescent="0.2">
      <c r="A30" s="96"/>
      <c r="B30" s="120" t="s">
        <v>53</v>
      </c>
      <c r="C30" s="114">
        <f>IF(C29 = 0,
0,
IF(C27 = (C$7+D$7),1,0))</f>
        <v>0</v>
      </c>
      <c r="D30" s="114">
        <f>IF(D29 = 0,
0,
IF(D27 = (C$7+D$7),1,0))</f>
        <v>0</v>
      </c>
      <c r="E30" s="114">
        <f>IF(E29 = 0,
0,
IF(E27 = (E$7+F$7),1,0))</f>
        <v>0</v>
      </c>
      <c r="F30" s="114">
        <f>IF(F29 = 0,
0,
IF(F27 = (E$7+F$7),1,0))</f>
        <v>0</v>
      </c>
      <c r="G30" s="114">
        <f>IF(G29 = 0,
0,
IF(G27 = (G$7+H$7),1,0))</f>
        <v>0</v>
      </c>
      <c r="H30" s="114">
        <f>IF(H29 = 0,
0,
IF(H27 = (G$7+H$7),1,0))</f>
        <v>0</v>
      </c>
      <c r="I30" s="114">
        <f>IF(I29 = 0,
0,
IF(I27 = (I$7+J$7),1,0))</f>
        <v>0</v>
      </c>
      <c r="J30" s="114">
        <f>IF(J29 = 0,
0,
IF(J27 = (I$7+J$7),1,0))</f>
        <v>0</v>
      </c>
      <c r="K30" s="114">
        <f>IF(K29 = 0,
0,
IF(K27 = (K$7+L$7),1,0))</f>
        <v>0</v>
      </c>
      <c r="L30" s="114">
        <f>IF(L29 = 0,
0,
IF(L27 = (K$7+L$7),1,0))</f>
        <v>0</v>
      </c>
      <c r="M30" s="114">
        <f>IF(M29 = 0,
0,
IF(M27 = (M$7+N$7),1,0))</f>
        <v>0</v>
      </c>
      <c r="N30" s="114">
        <f>IF(N29 = 0,
0,
IF(N27 = (M$7+N$7),1,0))</f>
        <v>1</v>
      </c>
      <c r="O30" s="114">
        <f>IF(O29 = 0,
0,
IF(O27 = (O$7+P$7),1,0))</f>
        <v>0</v>
      </c>
      <c r="P30" s="114">
        <f>IF(P29 = 0,
0,
IF(P27 = (O$7+P$7),1,0))</f>
        <v>0</v>
      </c>
      <c r="Q30" s="114">
        <f>IF(Q29 = 0,
0,
IF(Q27 = (Q$7+R$7),1,0))</f>
        <v>0</v>
      </c>
      <c r="R30" s="114">
        <f>IF(R29 = 0,
0,
IF(R27 = (Q$7+R$7),1,0))</f>
        <v>0</v>
      </c>
      <c r="S30" s="130"/>
      <c r="T30" s="114">
        <f>IF(T29 = 0,
0,
IF(T27 = (T$7+U$7),1,0))</f>
        <v>0</v>
      </c>
      <c r="U30" s="114">
        <f>IF(U29 = 0,
0,
IF(U27 = (T$7+U$7),1,0))</f>
        <v>0</v>
      </c>
      <c r="V30" s="114">
        <f>IF(V29 = 0,
0,
IF(V27 = (V$7+W$7),1,0))</f>
        <v>0</v>
      </c>
      <c r="W30" s="114">
        <f>IF(W29 = 0,
0,
IF(W27 = (V$7+W$7),1,0))</f>
        <v>0</v>
      </c>
      <c r="X30" s="114">
        <f>IF(X29 = 0,
0,
IF(X27 = (X$7+Y$7),1,0))</f>
        <v>0</v>
      </c>
      <c r="Y30" s="114">
        <f>IF(Y29 = 0,
0,
IF(Y27 = (X$7+Y$7),1,0))</f>
        <v>0</v>
      </c>
      <c r="Z30" s="129">
        <f>IF(Z29 = 0,
0,
IF(Z27 = (Z$7+AA$7),1,0))</f>
        <v>0</v>
      </c>
      <c r="AA30" s="114">
        <f>IF(AA29 = 0,
0,
IF(AA27 = (Z$7+AA$7),1,0))</f>
        <v>0</v>
      </c>
      <c r="AB30" s="130"/>
      <c r="AC30" s="114">
        <f>IF(AC29 = 0,
0,
IF(AC27 = (AC$7+AD$7),1,0))</f>
        <v>0</v>
      </c>
      <c r="AD30" s="114">
        <f>IF(AD29 = 0,
0,
IF(AD27 = (AC$7+AD$7),1,0))</f>
        <v>0</v>
      </c>
      <c r="AE30" s="114">
        <f>IF(AE29 = 0,
0,
IF(AE27 = (AE$7+AF$7),1,0))</f>
        <v>0</v>
      </c>
      <c r="AF30" s="114">
        <f>IF(AF29 = 0,
0,
IF(AF27 = (AE$7+AF$7),1,0))</f>
        <v>1</v>
      </c>
      <c r="AG30" s="130"/>
      <c r="AH30" s="114">
        <f>IF(AH29 = 0,
0,
IF(AH27 = (AH$7+AI$7),1,0))</f>
        <v>0</v>
      </c>
      <c r="AI30" s="114">
        <f>IF(AI29 = 0,
0,
IF(AI27 = (AH$7+AI$7),1,0))</f>
        <v>0</v>
      </c>
      <c r="AJ30" s="130"/>
      <c r="AK30" s="131">
        <f>SUM(C30:AI30)</f>
        <v>2</v>
      </c>
      <c r="AL30" s="119"/>
    </row>
    <row r="31" spans="1:38" s="27" customFormat="1" ht="12.75" customHeight="1" x14ac:dyDescent="0.2">
      <c r="A31" s="113">
        <f>RANK(AL31,$AL$11:$AL$98,)</f>
        <v>6</v>
      </c>
      <c r="B31" s="81" t="s">
        <v>75</v>
      </c>
      <c r="C31" s="46">
        <v>5</v>
      </c>
      <c r="D31" s="45"/>
      <c r="E31" s="44">
        <v>6</v>
      </c>
      <c r="F31" s="45"/>
      <c r="G31" s="48"/>
      <c r="H31" s="242">
        <v>7</v>
      </c>
      <c r="I31" s="44"/>
      <c r="J31" s="47">
        <v>6</v>
      </c>
      <c r="K31" s="49">
        <v>5</v>
      </c>
      <c r="L31" s="47"/>
      <c r="M31" s="44"/>
      <c r="N31" s="198">
        <v>6</v>
      </c>
      <c r="O31" s="44">
        <v>6</v>
      </c>
      <c r="P31" s="45"/>
      <c r="Q31" s="48">
        <v>6</v>
      </c>
      <c r="R31" s="50"/>
      <c r="S31" s="118">
        <f>SUM(C32:R32)</f>
        <v>43</v>
      </c>
      <c r="T31" s="46"/>
      <c r="U31" s="47">
        <v>6</v>
      </c>
      <c r="V31" s="44">
        <v>6</v>
      </c>
      <c r="W31" s="47"/>
      <c r="X31" s="49">
        <v>5</v>
      </c>
      <c r="Y31" s="45"/>
      <c r="Z31" s="48"/>
      <c r="AA31" s="47">
        <v>7</v>
      </c>
      <c r="AB31" s="118">
        <f>SUM(T32:AA32)</f>
        <v>19</v>
      </c>
      <c r="AC31" s="48">
        <v>6</v>
      </c>
      <c r="AD31" s="47"/>
      <c r="AE31" s="49">
        <v>6</v>
      </c>
      <c r="AF31" s="47"/>
      <c r="AG31" s="118">
        <f>SUM(AC32:AF32)</f>
        <v>21</v>
      </c>
      <c r="AH31" s="99"/>
      <c r="AI31" s="314">
        <v>7</v>
      </c>
      <c r="AJ31" s="118">
        <f>AH32</f>
        <v>32</v>
      </c>
      <c r="AK31" s="107">
        <f>MAX($AL$11:$AL$98) - AL31</f>
        <v>22</v>
      </c>
      <c r="AL31" s="118">
        <f>$S31+$AB31+$AG31+$AJ31</f>
        <v>115</v>
      </c>
    </row>
    <row r="32" spans="1:38" s="27" customFormat="1" ht="12.75" hidden="1" customHeight="1" x14ac:dyDescent="0.2">
      <c r="A32" s="113" t="e">
        <f>RANK(AL32,$AL$11:$AL$98,)</f>
        <v>#N/A</v>
      </c>
      <c r="B32" s="95"/>
      <c r="C32" s="72">
        <f>(IF($C31&lt;&gt;"",($C$7*$O$105)+IF($C$7=4,($O$103)+IF($C31=$C$7+$D$7,$O$104,0),0),0)+IF($D31&lt;&gt;"",($D$7*$O$105)+IF($D$7=4,($O$103)+IF($D31=$C$7+$D$7,$O$104,0),0),0))</f>
        <v>0</v>
      </c>
      <c r="D32" s="73"/>
      <c r="E32" s="74">
        <f>(IF($E31&lt;&gt;"",($E$7*$O$105)+IF($E$7=4,($O$103)+IF($E31=$E$7+$F$7,$O$104,0),0),0)+IF($F31&lt;&gt;"",($F$7*$O$105)+IF($F$7=4,($O$103)+IF($F31=$E$7+$F$7,$O$104,0),0),0))</f>
        <v>9</v>
      </c>
      <c r="F32" s="73"/>
      <c r="G32" s="74">
        <f>(IF($G31&lt;&gt;"",($G$7*$O$105)+IF($G$7=4,($O$103)+IF($G31=$G$7+$H$7,$O$104,0),0),0)+IF($H31&lt;&gt;"",($H$7*$O$105)+IF($H$7=4,($O$103)+IF($H31=$G$7+$H$7,$O$104,0),0),0))</f>
        <v>11</v>
      </c>
      <c r="H32" s="73"/>
      <c r="I32" s="74">
        <f>(IF($I31&lt;&gt;"",($I$7*$O$105)+IF($I$7=4,($O$103)+IF($I31=$I$7+$J$7,$O$104,0),0),0)+IF($J31&lt;&gt;"",($J$7*$O$105)+IF($J$7=4,($O$103)+IF($J31=$I$7+$J$7,$O$104,0),0),0))</f>
        <v>0</v>
      </c>
      <c r="J32" s="75"/>
      <c r="K32" s="76">
        <f>(IF($K31&lt;&gt;"",($K$7*$O$105)+IF($K$7=4,($O$103)+IF($K31=$K$7+$L$7,$O$104,0),0),0)+IF($L31&lt;&gt;"",($L$7*$O$105)+IF($L$7=4,($O$103)+IF($L31=$K$7+$L$7,$O$104,0),0),0))</f>
        <v>1</v>
      </c>
      <c r="L32" s="73"/>
      <c r="M32" s="74">
        <f>(IF($M31&lt;&gt;"",($M$7*$O$105)+IF($M$7=4,($O$103)+IF($M31=$M$7+$N$7,$O$104,0),0),0)+IF($N31&lt;&gt;"",($N$7*$O$105)+IF($N$7=4,($O$103)+IF($N31=$M$7+$N$7,$O$104,0),0),0))</f>
        <v>11</v>
      </c>
      <c r="N32" s="73"/>
      <c r="O32" s="74">
        <f>(IF($O31&lt;&gt;"",($O$7*$O$105)+IF($O$7=4,($O$103)+IF($O31=$O$7+$P$7,$O$104,0),0),0)+IF($P31&lt;&gt;"",($P$7*$O$105)+IF($P$7=4,($O$103)+IF($P31=$O$7+$P$7,$O$104,0),0),0))</f>
        <v>2</v>
      </c>
      <c r="P32" s="73"/>
      <c r="Q32" s="74">
        <f>(IF($Q31&lt;&gt;"",($Q$7*$O$105)+IF($Q$7=4,($O$103)+IF($Q31=$Q$7+$R$7,$O$104,0),0),0)+IF($R31&lt;&gt;"",($R$7*$O$105)+IF($R$7=4,($O$103)+IF($R31=$Q$7+$R$7,$O$104,0),0),0))</f>
        <v>9</v>
      </c>
      <c r="R32" s="77"/>
      <c r="S32" s="117"/>
      <c r="T32" s="122">
        <f>(IF($T31&lt;&gt;"",($T$7*$P$105)+IF($T$7=4,($P$103)+IF($T31=$T$7+$U$7,$P$104,0),0),0)+IF($U31&lt;&gt;"",($U$7*$P$105)+IF($U$7=4,($P$103)+IF($U31=$T$7+$U$7,$P$104,0),0),0))</f>
        <v>2</v>
      </c>
      <c r="U32" s="122"/>
      <c r="V32" s="122">
        <f>(IF($V31&lt;&gt;"",($V$7*$P$105)+IF($V$7=4,($P$103)+IF($V31=$V$7+$W$7,$P$104,0),0),0)+IF($W31&lt;&gt;"",($W$7*$P$105)+IF($W$7=4,($P$103)+IF($W31=$V$7+$W$7,$P$104,0),0),0))</f>
        <v>0</v>
      </c>
      <c r="W32" s="122"/>
      <c r="X32" s="122">
        <f>(IF($X31&lt;&gt;"",($X$7*$P$105)+IF($X$7=4,($P$103)+IF($X31=$X$7+$Y$7,$P$104,0),0),0)+IF($Y31&lt;&gt;"",($Y$7*$P$105)+IF($Y$7=4,($P$103)+IF($Y31=$X$7+$Y$7,$P$104,0),0),0))</f>
        <v>14</v>
      </c>
      <c r="Y32" s="59"/>
      <c r="Z32" s="122">
        <f>(IF($Z31&lt;&gt;"",($Z$7*$P$105)+IF($Z$7=4,($P$103)+IF($Z31=$Z$7+$AA$7,$P$104,0),0),0)+IF($AA31&lt;&gt;"",($AA$7*$P$105)+IF($AA$7=4,($P$103)+IF($AA31=$Z$7+$AA$7,$P$104,0),0),0))</f>
        <v>3</v>
      </c>
      <c r="AA32" s="60"/>
      <c r="AB32" s="117"/>
      <c r="AC32" s="122">
        <f>(IF($AC31&lt;&gt;"",($AC$7*$Q$105)+IF($AC$7=4,($Q$103)+IF($AC31=$AC$7+$AD$7,$Q$104,0),0),0)+IF($AD31&lt;&gt;"",($AD$7*$Q$105)+IF($AD$7=4,($Q$103)+IF($AD31=$AC$7+$AD$7,$Q$104,0),0),0))</f>
        <v>19</v>
      </c>
      <c r="AD32" s="122"/>
      <c r="AE32" s="122">
        <f>(IF($AE31&lt;&gt;"",($AE$7*$Q$105)+IF($AE$7=4,($Q$103)+IF($AE31=$AE$7+$AF$7,$Q$104,0),0),0)+IF($AF31&lt;&gt;"",($AF$7*$Q$105)+IF($AF$7=4,($Q$103)+IF($AF31=$AE$7+$AF$7,$Q$104,0),0),0))</f>
        <v>2</v>
      </c>
      <c r="AF32" s="82"/>
      <c r="AG32" s="117"/>
      <c r="AH32" s="122">
        <f>(IF($AH31&lt;&gt;"",($AH$7*$Q$105)+IF($AH$7=4,($R$103)+IF($AH31=$AH$7+$AI$7,$R$104,0),0),0)+IF($AI31&lt;&gt;"",($AI$7*$R$105)+IF($AI$7=4,($R$103)+IF($AI31=$AH$7+$AI$7,$R$104,0),0),0))</f>
        <v>32</v>
      </c>
      <c r="AI32" s="128"/>
      <c r="AJ32" s="117"/>
      <c r="AK32" s="89">
        <f>MAX($AL$11:$AL$98) - AL32</f>
        <v>137</v>
      </c>
      <c r="AL32" s="117"/>
    </row>
    <row r="33" spans="1:38" s="27" customFormat="1" hidden="1" x14ac:dyDescent="0.2">
      <c r="A33" s="96"/>
      <c r="B33" s="120" t="s">
        <v>52</v>
      </c>
      <c r="C33" s="114">
        <f>IF(ISBLANK(C31),
0,
IF(C$7= 4, 1, 0))</f>
        <v>0</v>
      </c>
      <c r="D33" s="114">
        <f>IF(ISBLANK(D31),
0,
IF(D$7 = 4, 1, 0))</f>
        <v>0</v>
      </c>
      <c r="E33" s="114">
        <f>IF(ISBLANK(E31),
0,
IF(E$7= 4, 1, 0))</f>
        <v>1</v>
      </c>
      <c r="F33" s="114">
        <f>IF(ISBLANK(F31),
0,
IF(F$7 = 4, 1, 0))</f>
        <v>0</v>
      </c>
      <c r="G33" s="114">
        <f>IF(ISBLANK(G31),
0,
IF(G$7= 4, 1, 0))</f>
        <v>0</v>
      </c>
      <c r="H33" s="114">
        <f>IF(ISBLANK(H31),
0,
IF(H$7 = 4, 1, 0))</f>
        <v>1</v>
      </c>
      <c r="I33" s="114">
        <f>IF(ISBLANK(I31),
0,
IF(I$7= 4, 1, 0))</f>
        <v>0</v>
      </c>
      <c r="J33" s="114">
        <f>IF(ISBLANK(J31),
0,
IF(J$7 = 4, 1, 0))</f>
        <v>0</v>
      </c>
      <c r="K33" s="114">
        <f>IF(ISBLANK(K31),
0,
IF(K$7= 4, 1, 0))</f>
        <v>0</v>
      </c>
      <c r="L33" s="114">
        <f>IF(ISBLANK(L31),
0,
IF(L$7 = 4, 1, 0))</f>
        <v>0</v>
      </c>
      <c r="M33" s="114">
        <f>IF(ISBLANK(M31),
0,
IF(M$7= 4, 1, 0))</f>
        <v>0</v>
      </c>
      <c r="N33" s="114">
        <f>IF(ISBLANK(N31),
0,
IF(N$7 = 4, 1, 0))</f>
        <v>1</v>
      </c>
      <c r="O33" s="114">
        <f>IF(ISBLANK(O31),
0,
IF(O$7= 4, 1, 0))</f>
        <v>0</v>
      </c>
      <c r="P33" s="114">
        <f>IF(ISBLANK(P31),
0,
IF(P$7 = 4, 1, 0))</f>
        <v>0</v>
      </c>
      <c r="Q33" s="114">
        <f>IF(ISBLANK(Q31),
0,
IF(Q$7= 4, 1, 0))</f>
        <v>1</v>
      </c>
      <c r="R33" s="114">
        <f>IF(ISBLANK(R31),
0,
IF(R$7 = 4, 1, 0))</f>
        <v>0</v>
      </c>
      <c r="S33" s="130"/>
      <c r="T33" s="114">
        <f>IF(ISBLANK(T31),
0,
IF(T$7= 4, 1, 0))</f>
        <v>0</v>
      </c>
      <c r="U33" s="114">
        <f>IF(ISBLANK(U31),
0,
IF(U$7 = 4, 1, 0))</f>
        <v>0</v>
      </c>
      <c r="V33" s="114">
        <f>IF(ISBLANK(V31),
0,
IF(V$7= 4, 1, 0))</f>
        <v>0</v>
      </c>
      <c r="W33" s="114">
        <f>IF(ISBLANK(W31),
0,
IF(W$7 = 4, 1, 0))</f>
        <v>0</v>
      </c>
      <c r="X33" s="114">
        <f>IF(ISBLANK(X31),
0,
IF(X$7= 4, 1, 0))</f>
        <v>1</v>
      </c>
      <c r="Y33" s="114">
        <f>IF(ISBLANK(Y31),
0,
IF(Y$7 = 4, 1, 0))</f>
        <v>0</v>
      </c>
      <c r="Z33" s="114">
        <f>IF(ISBLANK(Z31),
0,
IF(Z$7= 4, 1, 0))</f>
        <v>0</v>
      </c>
      <c r="AA33" s="114">
        <f>IF(ISBLANK(AA31),
0,
IF(AA$7 = 4, 1, 0))</f>
        <v>0</v>
      </c>
      <c r="AB33" s="130"/>
      <c r="AC33" s="114">
        <f>IF(ISBLANK(AC31),
0,
IF(AC$7= 4, 1, 0))</f>
        <v>1</v>
      </c>
      <c r="AD33" s="114">
        <f>IF(ISBLANK(AD31),
0,
IF(AD$7 = 4, 1, 0))</f>
        <v>0</v>
      </c>
      <c r="AE33" s="114">
        <f>IF(ISBLANK(AE31),
0,
IF(AE$7= 4, 1, 0))</f>
        <v>0</v>
      </c>
      <c r="AF33" s="114">
        <f>IF(ISBLANK(AF31),
0,
IF(AF$7 = 4, 1, 0))</f>
        <v>0</v>
      </c>
      <c r="AG33" s="130"/>
      <c r="AH33" s="114">
        <f>IF(ISBLANK(AH31),
0,
IF(AH$7= 4, 1, 0))</f>
        <v>0</v>
      </c>
      <c r="AI33" s="114">
        <f>IF(ISBLANK(AI31),
0,
IF(AI$7 = 4, 1, 0))</f>
        <v>1</v>
      </c>
      <c r="AJ33" s="130"/>
      <c r="AK33" s="131">
        <f>SUM(C33:AI33)</f>
        <v>7</v>
      </c>
      <c r="AL33" s="119"/>
    </row>
    <row r="34" spans="1:38" s="27" customFormat="1" hidden="1" x14ac:dyDescent="0.2">
      <c r="A34" s="96"/>
      <c r="B34" s="120" t="s">
        <v>53</v>
      </c>
      <c r="C34" s="114">
        <f>IF(C33 = 0,
0,
IF(C31 = (C$7+D$7),1,0))</f>
        <v>0</v>
      </c>
      <c r="D34" s="114">
        <f>IF(D33 = 0,
0,
IF(D31 = (C$7+D$7),1,0))</f>
        <v>0</v>
      </c>
      <c r="E34" s="114">
        <f>IF(E33 = 0,
0,
IF(E31 = (E$7+F$7),1,0))</f>
        <v>0</v>
      </c>
      <c r="F34" s="114">
        <f>IF(F33 = 0,
0,
IF(F31 = (E$7+F$7),1,0))</f>
        <v>0</v>
      </c>
      <c r="G34" s="114">
        <f>IF(G33 = 0,
0,
IF(G31 = (G$7+H$7),1,0))</f>
        <v>0</v>
      </c>
      <c r="H34" s="114">
        <f>IF(H33 = 0,
0,
IF(H31 = (G$7+H$7),1,0))</f>
        <v>1</v>
      </c>
      <c r="I34" s="114">
        <f>IF(I33 = 0,
0,
IF(I31 = (I$7+J$7),1,0))</f>
        <v>0</v>
      </c>
      <c r="J34" s="114">
        <f>IF(J33 = 0,
0,
IF(J31 = (I$7+J$7),1,0))</f>
        <v>0</v>
      </c>
      <c r="K34" s="114">
        <f>IF(K33 = 0,
0,
IF(K31 = (K$7+L$7),1,0))</f>
        <v>0</v>
      </c>
      <c r="L34" s="114">
        <f>IF(L33 = 0,
0,
IF(L31 = (K$7+L$7),1,0))</f>
        <v>0</v>
      </c>
      <c r="M34" s="114">
        <f>IF(M33 = 0,
0,
IF(M31 = (M$7+N$7),1,0))</f>
        <v>0</v>
      </c>
      <c r="N34" s="114">
        <f>IF(N33 = 0,
0,
IF(N31 = (M$7+N$7),1,0))</f>
        <v>1</v>
      </c>
      <c r="O34" s="114">
        <f>IF(O33 = 0,
0,
IF(O31 = (O$7+P$7),1,0))</f>
        <v>0</v>
      </c>
      <c r="P34" s="114">
        <f>IF(P33 = 0,
0,
IF(P31 = (O$7+P$7),1,0))</f>
        <v>0</v>
      </c>
      <c r="Q34" s="114">
        <f>IF(Q33 = 0,
0,
IF(Q31 = (Q$7+R$7),1,0))</f>
        <v>0</v>
      </c>
      <c r="R34" s="114">
        <f>IF(R33 = 0,
0,
IF(R31 = (Q$7+R$7),1,0))</f>
        <v>0</v>
      </c>
      <c r="S34" s="130"/>
      <c r="T34" s="114">
        <f>IF(T33 = 0,
0,
IF(T31 = (T$7+U$7),1,0))</f>
        <v>0</v>
      </c>
      <c r="U34" s="114">
        <f>IF(U33 = 0,
0,
IF(U31 = (T$7+U$7),1,0))</f>
        <v>0</v>
      </c>
      <c r="V34" s="114">
        <f>IF(V33 = 0,
0,
IF(V31 = (V$7+W$7),1,0))</f>
        <v>0</v>
      </c>
      <c r="W34" s="114">
        <f>IF(W33 = 0,
0,
IF(W31 = (V$7+W$7),1,0))</f>
        <v>0</v>
      </c>
      <c r="X34" s="114">
        <f>IF(X33 = 0,
0,
IF(X31 = (X$7+Y$7),1,0))</f>
        <v>0</v>
      </c>
      <c r="Y34" s="114">
        <f>IF(Y33 = 0,
0,
IF(Y31 = (X$7+Y$7),1,0))</f>
        <v>0</v>
      </c>
      <c r="Z34" s="114">
        <f>IF(Z33 = 0,
0,
IF(Z31 = (Z$7+AA$7),1,0))</f>
        <v>0</v>
      </c>
      <c r="AA34" s="114">
        <f>IF(AA33 = 0,
0,
IF(AA31 = (Z$7+AA$7),1,0))</f>
        <v>0</v>
      </c>
      <c r="AB34" s="130"/>
      <c r="AC34" s="114">
        <f>IF(AC33 = 0,
0,
IF(AC31 = (AC$7+AD$7),1,0))</f>
        <v>0</v>
      </c>
      <c r="AD34" s="114">
        <f>IF(AD33 = 0,
0,
IF(AD31 = (AC$7+AD$7),1,0))</f>
        <v>0</v>
      </c>
      <c r="AE34" s="114">
        <f>IF(AE33 = 0,
0,
IF(AE31 = (AE$7+AF$7),1,0))</f>
        <v>0</v>
      </c>
      <c r="AF34" s="114">
        <f>IF(AF33 = 0,
0,
IF(AF31 = (AE$7+AF$7),1,0))</f>
        <v>0</v>
      </c>
      <c r="AG34" s="130"/>
      <c r="AH34" s="114">
        <f>IF(AH33 = 0,
0,
IF(AH31 = (AH$7+AI$7),1,0))</f>
        <v>0</v>
      </c>
      <c r="AI34" s="114">
        <f>IF(AI33 = 0,
0,
IF(AI31 = (AH$7+AI$7),1,0))</f>
        <v>1</v>
      </c>
      <c r="AJ34" s="130"/>
      <c r="AK34" s="131">
        <f>SUM(C34:AI34)</f>
        <v>3</v>
      </c>
      <c r="AL34" s="119"/>
    </row>
    <row r="35" spans="1:38" s="27" customFormat="1" ht="12.75" customHeight="1" x14ac:dyDescent="0.2">
      <c r="A35" s="201">
        <f>RANK(AL35,$AL$11:$AL$98,)</f>
        <v>6</v>
      </c>
      <c r="B35" s="202" t="s">
        <v>65</v>
      </c>
      <c r="C35" s="214">
        <v>4</v>
      </c>
      <c r="D35" s="215"/>
      <c r="E35" s="219">
        <v>4</v>
      </c>
      <c r="F35" s="215"/>
      <c r="G35" s="217">
        <v>6</v>
      </c>
      <c r="H35" s="218"/>
      <c r="I35" s="219"/>
      <c r="J35" s="218">
        <v>6</v>
      </c>
      <c r="K35" s="220">
        <v>6</v>
      </c>
      <c r="L35" s="218"/>
      <c r="M35" s="219">
        <v>5</v>
      </c>
      <c r="N35" s="215"/>
      <c r="O35" s="219">
        <v>6</v>
      </c>
      <c r="P35" s="215"/>
      <c r="Q35" s="217"/>
      <c r="R35" s="222">
        <v>6</v>
      </c>
      <c r="S35" s="224">
        <f>SUM(C36:R36)</f>
        <v>20</v>
      </c>
      <c r="T35" s="214"/>
      <c r="U35" s="218">
        <v>6</v>
      </c>
      <c r="V35" s="219"/>
      <c r="W35" s="218">
        <v>7</v>
      </c>
      <c r="X35" s="220"/>
      <c r="Y35" s="215">
        <v>7</v>
      </c>
      <c r="Z35" s="217">
        <v>6</v>
      </c>
      <c r="AA35" s="218"/>
      <c r="AB35" s="224">
        <f>SUM(T36:AA36)</f>
        <v>33</v>
      </c>
      <c r="AC35" s="217">
        <v>7</v>
      </c>
      <c r="AD35" s="243"/>
      <c r="AE35" s="220"/>
      <c r="AF35" s="218">
        <v>7</v>
      </c>
      <c r="AG35" s="224">
        <f>SUM(AC36:AF36)</f>
        <v>38</v>
      </c>
      <c r="AH35" s="227"/>
      <c r="AI35" s="212">
        <v>6</v>
      </c>
      <c r="AJ35" s="224">
        <f>AH36</f>
        <v>24</v>
      </c>
      <c r="AK35" s="226">
        <f>MAX($AL$11:$AL$98) - AL35</f>
        <v>22</v>
      </c>
      <c r="AL35" s="224">
        <f>$S35+$AB35+$AG35+$AJ35</f>
        <v>115</v>
      </c>
    </row>
    <row r="36" spans="1:38" s="27" customFormat="1" ht="12.75" hidden="1" customHeight="1" x14ac:dyDescent="0.2">
      <c r="A36" s="113" t="e">
        <f>RANK(AL36,$AL$11:$AL$98,)</f>
        <v>#N/A</v>
      </c>
      <c r="B36" s="95"/>
      <c r="C36" s="72">
        <f>(IF($C35&lt;&gt;"",($C$7*$O$105)+IF($C$7=4,($O$103)+IF($C35=$C$7+$D$7,$O$104,0),0),0)+IF($D35&lt;&gt;"",($D$7*$O$105)+IF($D$7=4,($O$103)+IF($D35=$C$7+$D$7,$O$104,0),0),0))</f>
        <v>0</v>
      </c>
      <c r="D36" s="73"/>
      <c r="E36" s="74">
        <f>(IF($E35&lt;&gt;"",($E$7*$O$105)+IF($E$7=4,($O$103)+IF($E35=$E$7+$F$7,$O$104,0),0),0)+IF($F35&lt;&gt;"",($F$7*$O$105)+IF($F$7=4,($O$103)+IF($F35=$E$7+$F$7,$O$104,0),0),0))</f>
        <v>9</v>
      </c>
      <c r="F36" s="73"/>
      <c r="G36" s="74">
        <f>(IF($G35&lt;&gt;"",($G$7*$O$105)+IF($G$7=4,($O$103)+IF($G35=$G$7+$H$7,$O$104,0),0),0)+IF($H35&lt;&gt;"",($H$7*$O$105)+IF($H$7=4,($O$103)+IF($H35=$G$7+$H$7,$O$104,0),0),0))</f>
        <v>3</v>
      </c>
      <c r="H36" s="73"/>
      <c r="I36" s="74">
        <f>(IF($I35&lt;&gt;"",($I$7*$O$105)+IF($I$7=4,($O$103)+IF($I35=$I$7+$J$7,$O$104,0),0),0)+IF($J35&lt;&gt;"",($J$7*$O$105)+IF($J$7=4,($O$103)+IF($J35=$I$7+$J$7,$O$104,0),0),0))</f>
        <v>0</v>
      </c>
      <c r="J36" s="75"/>
      <c r="K36" s="76">
        <f>(IF($K35&lt;&gt;"",($K$7*$O$105)+IF($K$7=4,($O$103)+IF($K35=$K$7+$L$7,$O$104,0),0),0)+IF($L35&lt;&gt;"",($L$7*$O$105)+IF($L$7=4,($O$103)+IF($L35=$K$7+$L$7,$O$104,0),0),0))</f>
        <v>1</v>
      </c>
      <c r="L36" s="73"/>
      <c r="M36" s="74">
        <f>(IF($M35&lt;&gt;"",($M$7*$O$105)+IF($M$7=4,($O$103)+IF($M35=$M$7+$N$7,$O$104,0),0),0)+IF($N35&lt;&gt;"",($N$7*$O$105)+IF($N$7=4,($O$103)+IF($N35=$M$7+$N$7,$O$104,0),0),0))</f>
        <v>2</v>
      </c>
      <c r="N36" s="73"/>
      <c r="O36" s="74">
        <f>(IF($O35&lt;&gt;"",($O$7*$O$105)+IF($O$7=4,($O$103)+IF($O35=$O$7+$P$7,$O$104,0),0),0)+IF($P35&lt;&gt;"",($P$7*$O$105)+IF($P$7=4,($O$103)+IF($P35=$O$7+$P$7,$O$104,0),0),0))</f>
        <v>2</v>
      </c>
      <c r="P36" s="73"/>
      <c r="Q36" s="74">
        <f>(IF($Q35&lt;&gt;"",($Q$7*$O$105)+IF($Q$7=4,($O$103)+IF($Q35=$Q$7+$R$7,$O$104,0),0),0)+IF($R35&lt;&gt;"",($R$7*$O$105)+IF($R$7=4,($O$103)+IF($R35=$Q$7+$R$7,$O$104,0),0),0))</f>
        <v>3</v>
      </c>
      <c r="R36" s="77"/>
      <c r="S36" s="117"/>
      <c r="T36" s="122">
        <f>(IF($T35&lt;&gt;"",($T$7*$P$105)+IF($T$7=4,($P$103)+IF($T35=$T$7+$U$7,$P$104,0),0),0)+IF($U35&lt;&gt;"",($U$7*$P$105)+IF($U$7=4,($P$103)+IF($U35=$T$7+$U$7,$P$104,0),0),0))</f>
        <v>2</v>
      </c>
      <c r="U36" s="122"/>
      <c r="V36" s="122">
        <f>(IF($V35&lt;&gt;"",($V$7*$P$105)+IF($V$7=4,($P$103)+IF($V35=$V$7+$W$7,$P$104,0),0),0)+IF($W35&lt;&gt;"",($W$7*$P$105)+IF($W$7=4,($P$103)+IF($W35=$V$7+$W$7,$P$104,0),0),0))</f>
        <v>14</v>
      </c>
      <c r="W36" s="122"/>
      <c r="X36" s="122">
        <f>(IF($X35&lt;&gt;"",($X$7*$P$105)+IF($X$7=4,($P$103)+IF($X35=$X$7+$Y$7,$P$104,0),0),0)+IF($Y35&lt;&gt;"",($Y$7*$P$105)+IF($Y$7=4,($P$103)+IF($Y35=$X$7+$Y$7,$P$104,0),0),0))</f>
        <v>3</v>
      </c>
      <c r="Y36" s="59"/>
      <c r="Z36" s="122">
        <f>(IF($Z35&lt;&gt;"",($Z$7*$P$105)+IF($Z$7=4,($P$103)+IF($Z35=$Z$7+$AA$7,$P$104,0),0),0)+IF($AA35&lt;&gt;"",($AA$7*$P$105)+IF($AA$7=4,($P$103)+IF($AA35=$Z$7+$AA$7,$P$104,0),0),0))</f>
        <v>14</v>
      </c>
      <c r="AA36" s="60"/>
      <c r="AB36" s="117"/>
      <c r="AC36" s="122">
        <f>(IF($AC35&lt;&gt;"",($AC$7*$Q$105)+IF($AC$7=4,($Q$103)+IF($AC35=$AC$7+$AD$7,$Q$104,0),0),0)+IF($AD35&lt;&gt;"",($AD$7*$Q$105)+IF($AD$7=4,($Q$103)+IF($AD35=$AC$7+$AD$7,$Q$104,0),0),0))</f>
        <v>19</v>
      </c>
      <c r="AD36" s="122"/>
      <c r="AE36" s="122">
        <f>(IF($AE35&lt;&gt;"",($AE$7*$Q$105)+IF($AE$7=4,($Q$103)+IF($AE35=$AE$7+$AF$7,$Q$104,0),0),0)+IF($AF35&lt;&gt;"",($AF$7*$Q$105)+IF($AF$7=4,($Q$103)+IF($AF35=$AE$7+$AF$7,$Q$104,0),0),0))</f>
        <v>19</v>
      </c>
      <c r="AF36" s="82"/>
      <c r="AG36" s="117"/>
      <c r="AH36" s="122">
        <f>(IF($AH35&lt;&gt;"",($AH$7*$Q$105)+IF($AH$7=4,($R$103)+IF($AH35=$AH$7+$AI$7,$R$104,0),0),0)+IF($AI35&lt;&gt;"",($AI$7*$R$105)+IF($AI$7=4,($R$103)+IF($AI35=$AH$7+$AI$7,$R$104,0),0),0))</f>
        <v>24</v>
      </c>
      <c r="AI36" s="128"/>
      <c r="AJ36" s="117"/>
      <c r="AK36" s="89">
        <f>MAX($AL$11:$AL$98) - AL36</f>
        <v>137</v>
      </c>
      <c r="AL36" s="117"/>
    </row>
    <row r="37" spans="1:38" s="27" customFormat="1" hidden="1" x14ac:dyDescent="0.2">
      <c r="A37" s="96"/>
      <c r="B37" s="120" t="s">
        <v>52</v>
      </c>
      <c r="C37" s="114">
        <f>IF(ISBLANK(C35),
0,
IF(C$7= 4, 1, 0))</f>
        <v>0</v>
      </c>
      <c r="D37" s="114">
        <f>IF(ISBLANK(D35),
0,
IF(D$7 = 4, 1, 0))</f>
        <v>0</v>
      </c>
      <c r="E37" s="114">
        <f>IF(ISBLANK(E35),
0,
IF(E$7= 4, 1, 0))</f>
        <v>1</v>
      </c>
      <c r="F37" s="114">
        <f>IF(ISBLANK(F35),
0,
IF(F$7 = 4, 1, 0))</f>
        <v>0</v>
      </c>
      <c r="G37" s="114">
        <f>IF(ISBLANK(G35),
0,
IF(G$7= 4, 1, 0))</f>
        <v>0</v>
      </c>
      <c r="H37" s="114">
        <f>IF(ISBLANK(H35),
0,
IF(H$7 = 4, 1, 0))</f>
        <v>0</v>
      </c>
      <c r="I37" s="114">
        <f>IF(ISBLANK(I35),
0,
IF(I$7= 4, 1, 0))</f>
        <v>0</v>
      </c>
      <c r="J37" s="114">
        <f>IF(ISBLANK(J35),
0,
IF(J$7 = 4, 1, 0))</f>
        <v>0</v>
      </c>
      <c r="K37" s="114">
        <f>IF(ISBLANK(K35),
0,
IF(K$7= 4, 1, 0))</f>
        <v>0</v>
      </c>
      <c r="L37" s="114">
        <f>IF(ISBLANK(L35),
0,
IF(L$7 = 4, 1, 0))</f>
        <v>0</v>
      </c>
      <c r="M37" s="114">
        <f>IF(ISBLANK(M35),
0,
IF(M$7= 4, 1, 0))</f>
        <v>0</v>
      </c>
      <c r="N37" s="114">
        <f>IF(ISBLANK(N35),
0,
IF(N$7 = 4, 1, 0))</f>
        <v>0</v>
      </c>
      <c r="O37" s="114">
        <f>IF(ISBLANK(O35),
0,
IF(O$7= 4, 1, 0))</f>
        <v>0</v>
      </c>
      <c r="P37" s="114">
        <f>IF(ISBLANK(P35),
0,
IF(P$7 = 4, 1, 0))</f>
        <v>0</v>
      </c>
      <c r="Q37" s="114">
        <f>IF(ISBLANK(Q35),
0,
IF(Q$7= 4, 1, 0))</f>
        <v>0</v>
      </c>
      <c r="R37" s="114">
        <f>IF(ISBLANK(R35),
0,
IF(R$7 = 4, 1, 0))</f>
        <v>0</v>
      </c>
      <c r="S37" s="130"/>
      <c r="T37" s="114">
        <f>IF(ISBLANK(T35),
0,
IF(T$7= 4, 1, 0))</f>
        <v>0</v>
      </c>
      <c r="U37" s="114">
        <f>IF(ISBLANK(U35),
0,
IF(U$7 = 4, 1, 0))</f>
        <v>0</v>
      </c>
      <c r="V37" s="114">
        <f>IF(ISBLANK(V35),
0,
IF(V$7= 4, 1, 0))</f>
        <v>0</v>
      </c>
      <c r="W37" s="114">
        <f>IF(ISBLANK(W35),
0,
IF(W$7 = 4, 1, 0))</f>
        <v>1</v>
      </c>
      <c r="X37" s="114">
        <f>IF(ISBLANK(X35),
0,
IF(X$7= 4, 1, 0))</f>
        <v>0</v>
      </c>
      <c r="Y37" s="114">
        <f>IF(ISBLANK(Y35),
0,
IF(Y$7 = 4, 1, 0))</f>
        <v>0</v>
      </c>
      <c r="Z37" s="114">
        <f>IF(ISBLANK(Z35),
0,
IF(Z$7= 4, 1, 0))</f>
        <v>1</v>
      </c>
      <c r="AA37" s="114">
        <f>IF(ISBLANK(AA35),
0,
IF(AA$7 = 4, 1, 0))</f>
        <v>0</v>
      </c>
      <c r="AB37" s="130"/>
      <c r="AC37" s="114">
        <f>IF(ISBLANK(AC35),
0,
IF(AC$7= 4, 1, 0))</f>
        <v>1</v>
      </c>
      <c r="AD37" s="114">
        <f>IF(ISBLANK(AD35),
0,
IF(AD$7 = 4, 1, 0))</f>
        <v>0</v>
      </c>
      <c r="AE37" s="114">
        <f>IF(ISBLANK(AE35),
0,
IF(AE$7= 4, 1, 0))</f>
        <v>0</v>
      </c>
      <c r="AF37" s="114">
        <f>IF(ISBLANK(AF35),
0,
IF(AF$7 = 4, 1, 0))</f>
        <v>1</v>
      </c>
      <c r="AG37" s="130"/>
      <c r="AH37" s="114">
        <f>IF(ISBLANK(AH35),
0,
IF(AH$7= 4, 1, 0))</f>
        <v>0</v>
      </c>
      <c r="AI37" s="114">
        <f>IF(ISBLANK(AI35),
0,
IF(AI$7 = 4, 1, 0))</f>
        <v>1</v>
      </c>
      <c r="AJ37" s="130"/>
      <c r="AK37" s="131">
        <f>SUM(C37:AI37)</f>
        <v>6</v>
      </c>
      <c r="AL37" s="119"/>
    </row>
    <row r="38" spans="1:38" s="27" customFormat="1" hidden="1" x14ac:dyDescent="0.2">
      <c r="A38" s="96"/>
      <c r="B38" s="120" t="s">
        <v>53</v>
      </c>
      <c r="C38" s="114">
        <f>IF(C37 = 0,
0,
IF(C35 = (C$7+D$7),1,0))</f>
        <v>0</v>
      </c>
      <c r="D38" s="114">
        <f>IF(D37 = 0,
0,
IF(D35 = (C$7+D$7),1,0))</f>
        <v>0</v>
      </c>
      <c r="E38" s="114">
        <f>IF(E37 = 0,
0,
IF(E35 = (E$7+F$7),1,0))</f>
        <v>0</v>
      </c>
      <c r="F38" s="114">
        <f>IF(F37 = 0,
0,
IF(F35 = (E$7+F$7),1,0))</f>
        <v>0</v>
      </c>
      <c r="G38" s="114">
        <f>IF(G37 = 0,
0,
IF(G35 = (G$7+H$7),1,0))</f>
        <v>0</v>
      </c>
      <c r="H38" s="114">
        <f>IF(H37 = 0,
0,
IF(H35 = (G$7+H$7),1,0))</f>
        <v>0</v>
      </c>
      <c r="I38" s="114">
        <f>IF(I37 = 0,
0,
IF(I35 = (I$7+J$7),1,0))</f>
        <v>0</v>
      </c>
      <c r="J38" s="114">
        <f>IF(J37 = 0,
0,
IF(J35 = (I$7+J$7),1,0))</f>
        <v>0</v>
      </c>
      <c r="K38" s="114">
        <f>IF(K37 = 0,
0,
IF(K35 = (K$7+L$7),1,0))</f>
        <v>0</v>
      </c>
      <c r="L38" s="114">
        <f>IF(L37 = 0,
0,
IF(L35 = (K$7+L$7),1,0))</f>
        <v>0</v>
      </c>
      <c r="M38" s="114">
        <f>IF(M37 = 0,
0,
IF(M35 = (M$7+N$7),1,0))</f>
        <v>0</v>
      </c>
      <c r="N38" s="114">
        <f>IF(N37 = 0,
0,
IF(N35 = (M$7+N$7),1,0))</f>
        <v>0</v>
      </c>
      <c r="O38" s="114">
        <f>IF(O37 = 0,
0,
IF(O35 = (O$7+P$7),1,0))</f>
        <v>0</v>
      </c>
      <c r="P38" s="114">
        <f>IF(P37 = 0,
0,
IF(P35 = (O$7+P$7),1,0))</f>
        <v>0</v>
      </c>
      <c r="Q38" s="114">
        <f>IF(Q37 = 0,
0,
IF(Q35 = (Q$7+R$7),1,0))</f>
        <v>0</v>
      </c>
      <c r="R38" s="114">
        <f>IF(R37 = 0,
0,
IF(R35 = (Q$7+R$7),1,0))</f>
        <v>0</v>
      </c>
      <c r="S38" s="130"/>
      <c r="T38" s="114">
        <f>IF(T37 = 0,
0,
IF(T35 = (T$7+U$7),1,0))</f>
        <v>0</v>
      </c>
      <c r="U38" s="114">
        <f>IF(U37 = 0,
0,
IF(U35 = (T$7+U$7),1,0))</f>
        <v>0</v>
      </c>
      <c r="V38" s="114">
        <f>IF(V37 = 0,
0,
IF(V35 = (V$7+W$7),1,0))</f>
        <v>0</v>
      </c>
      <c r="W38" s="114">
        <f>IF(W37 = 0,
0,
IF(W35 = (V$7+W$7),1,0))</f>
        <v>0</v>
      </c>
      <c r="X38" s="114">
        <f>IF(X37 = 0,
0,
IF(X35 = (X$7+Y$7),1,0))</f>
        <v>0</v>
      </c>
      <c r="Y38" s="114">
        <f>IF(Y37 = 0,
0,
IF(Y35 = (X$7+Y$7),1,0))</f>
        <v>0</v>
      </c>
      <c r="Z38" s="114">
        <f>IF(Z37 = 0,
0,
IF(Z35 = (Z$7+AA$7),1,0))</f>
        <v>0</v>
      </c>
      <c r="AA38" s="114">
        <f>IF(AA37 = 0,
0,
IF(AA35 = (Z$7+AA$7),1,0))</f>
        <v>0</v>
      </c>
      <c r="AB38" s="130"/>
      <c r="AC38" s="114">
        <f>IF(AC37 = 0,
0,
IF(AC35 = (AC$7+AD$7),1,0))</f>
        <v>0</v>
      </c>
      <c r="AD38" s="114">
        <f>IF(AD37 = 0,
0,
IF(AD35 = (AC$7+AD$7),1,0))</f>
        <v>0</v>
      </c>
      <c r="AE38" s="114">
        <f>IF(AE37 = 0,
0,
IF(AE35 = (AE$7+AF$7),1,0))</f>
        <v>0</v>
      </c>
      <c r="AF38" s="114">
        <f>IF(AF37 = 0,
0,
IF(AF35 = (AE$7+AF$7),1,0))</f>
        <v>0</v>
      </c>
      <c r="AG38" s="130"/>
      <c r="AH38" s="114">
        <f>IF(AH37 = 0,
0,
IF(AH35 = (AH$7+AI$7),1,0))</f>
        <v>0</v>
      </c>
      <c r="AI38" s="114">
        <f>IF(AI37 = 0,
0,
IF(AI35 = (AH$7+AI$7),1,0))</f>
        <v>0</v>
      </c>
      <c r="AJ38" s="130"/>
      <c r="AK38" s="131">
        <f>SUM(C38:AI38)</f>
        <v>0</v>
      </c>
      <c r="AL38" s="119"/>
    </row>
    <row r="39" spans="1:38" s="27" customFormat="1" ht="12.75" customHeight="1" x14ac:dyDescent="0.2">
      <c r="A39" s="113">
        <f>RANK(AL39,$AL$11:$AL$98,)</f>
        <v>8</v>
      </c>
      <c r="B39" s="81" t="s">
        <v>74</v>
      </c>
      <c r="C39" s="46">
        <v>6</v>
      </c>
      <c r="D39" s="45"/>
      <c r="E39" s="197">
        <v>7</v>
      </c>
      <c r="F39" s="45"/>
      <c r="G39" s="48">
        <v>6</v>
      </c>
      <c r="H39" s="47"/>
      <c r="I39" s="44"/>
      <c r="J39" s="47">
        <v>7</v>
      </c>
      <c r="K39" s="49">
        <v>7</v>
      </c>
      <c r="L39" s="47"/>
      <c r="M39" s="44">
        <v>6</v>
      </c>
      <c r="N39" s="45"/>
      <c r="O39" s="44">
        <v>6</v>
      </c>
      <c r="P39" s="45"/>
      <c r="Q39" s="48"/>
      <c r="R39" s="50">
        <v>7</v>
      </c>
      <c r="S39" s="118">
        <f>SUM(C40:R40)</f>
        <v>22</v>
      </c>
      <c r="T39" s="46"/>
      <c r="U39" s="47">
        <v>7</v>
      </c>
      <c r="V39" s="44"/>
      <c r="W39" s="47">
        <v>7</v>
      </c>
      <c r="X39" s="240">
        <v>7</v>
      </c>
      <c r="Y39" s="45"/>
      <c r="Z39" s="200">
        <v>7</v>
      </c>
      <c r="AA39" s="47"/>
      <c r="AB39" s="118">
        <f>SUM(T40:AA40)</f>
        <v>52</v>
      </c>
      <c r="AC39" s="48"/>
      <c r="AD39" s="47">
        <v>6</v>
      </c>
      <c r="AE39" s="49">
        <v>7</v>
      </c>
      <c r="AF39" s="47"/>
      <c r="AG39" s="118">
        <f>SUM(AC40:AF40)</f>
        <v>2</v>
      </c>
      <c r="AH39" s="99"/>
      <c r="AI39" s="314">
        <v>7</v>
      </c>
      <c r="AJ39" s="118">
        <f>AH40</f>
        <v>32</v>
      </c>
      <c r="AK39" s="107">
        <f>MAX($AL$11:$AL$98) - AL39</f>
        <v>29</v>
      </c>
      <c r="AL39" s="118">
        <f>$S39+$AB39+$AG39+$AJ39</f>
        <v>108</v>
      </c>
    </row>
    <row r="40" spans="1:38" s="27" customFormat="1" ht="12.75" hidden="1" customHeight="1" x14ac:dyDescent="0.2">
      <c r="A40" s="113" t="e">
        <f>RANK(AL40,$AL$11:$AL$98,)</f>
        <v>#N/A</v>
      </c>
      <c r="B40" s="95"/>
      <c r="C40" s="114">
        <f>(IF($C39&lt;&gt;"",($C$7*$O$105)+IF($C$7=4,($O$103)+IF($C39=$C$7+$D$7,$O$104,0),0),0)+IF($D39&lt;&gt;"",($D$7*$O$105)+IF($D$7=4,($O$103)+IF($D39=$C$7+$D$7,$O$104,0),0),0))</f>
        <v>0</v>
      </c>
      <c r="D40" s="73"/>
      <c r="E40" s="112">
        <f>(IF($E39&lt;&gt;"",($E$7*$O$105)+IF($E$7=4,($O$103)+IF($E39=$E$7+$F$7,$O$104,0),0),0)+IF($F39&lt;&gt;"",($F$7*$O$105)+IF($F$7=4,($O$103)+IF($F39=$E$7+$F$7,$O$104,0),0),0))</f>
        <v>11</v>
      </c>
      <c r="F40" s="73"/>
      <c r="G40" s="115">
        <f>(IF($G39&lt;&gt;"",($G$7*$O$105)+IF($G$7=4,($O$103)+IF($G39=$G$7+$H$7,$O$104,0),0),0)+IF($H39&lt;&gt;"",($H$7*$O$105)+IF($H$7=4,($O$103)+IF($H39=$G$7+$H$7,$O$104,0),0),0))</f>
        <v>3</v>
      </c>
      <c r="H40" s="73"/>
      <c r="I40" s="112">
        <f>(IF($I39&lt;&gt;"",($I$7*$O$105)+IF($I$7=4,($O$103)+IF($I39=$I$7+$J$7,$O$104,0),0),0)+IF($J39&lt;&gt;"",($J$7*$O$105)+IF($J$7=4,($O$103)+IF($J39=$I$7+$J$7,$O$104,0),0),0))</f>
        <v>0</v>
      </c>
      <c r="J40" s="75"/>
      <c r="K40" s="76">
        <f>(IF($K39&lt;&gt;"",($K$7*$O$105)+IF($K$7=4,($O$103)+IF($K39=$K$7+$L$7,$O$104,0),0),0)+IF($L39&lt;&gt;"",($L$7*$O$105)+IF($L$7=4,($O$103)+IF($L39=$K$7+$L$7,$O$104,0),0),0))</f>
        <v>1</v>
      </c>
      <c r="L40" s="73"/>
      <c r="M40" s="74">
        <f>(IF($M39&lt;&gt;"",($M$7*$O$105)+IF($M$7=4,($O$103)+IF($M39=$M$7+$N$7,$O$104,0),0),0)+IF($N39&lt;&gt;"",($N$7*$O$105)+IF($N$7=4,($O$103)+IF($N39=$M$7+$N$7,$O$104,0),0),0))</f>
        <v>2</v>
      </c>
      <c r="N40" s="73"/>
      <c r="O40" s="74">
        <f>(IF($O39&lt;&gt;"",($O$7*$O$105)+IF($O$7=4,($O$103)+IF($O39=$O$7+$P$7,$O$104,0),0),0)+IF($P39&lt;&gt;"",($P$7*$O$105)+IF($P$7=4,($O$103)+IF($P39=$O$7+$P$7,$O$104,0),0),0))</f>
        <v>2</v>
      </c>
      <c r="P40" s="73"/>
      <c r="Q40" s="74">
        <f>(IF($Q39&lt;&gt;"",($Q$7*$O$105)+IF($Q$7=4,($O$103)+IF($Q39=$Q$7+$R$7,$O$104,0),0),0)+IF($R39&lt;&gt;"",($R$7*$O$105)+IF($R$7=4,($O$103)+IF($R39=$Q$7+$R$7,$O$104,0),0),0))</f>
        <v>3</v>
      </c>
      <c r="R40" s="77"/>
      <c r="S40" s="117"/>
      <c r="T40" s="122">
        <f>(IF($T39&lt;&gt;"",($T$7*$P$105)+IF($T$7=4,($P$103)+IF($T39=$T$7+$U$7,$P$104,0),0),0)+IF($U39&lt;&gt;"",($U$7*$P$105)+IF($U$7=4,($P$103)+IF($U39=$T$7+$U$7,$P$104,0),0),0))</f>
        <v>2</v>
      </c>
      <c r="U40" s="122"/>
      <c r="V40" s="122">
        <f>(IF($V39&lt;&gt;"",($V$7*$P$105)+IF($V$7=4,($P$103)+IF($V39=$V$7+$W$7,$P$104,0),0),0)+IF($W39&lt;&gt;"",($W$7*$P$105)+IF($W$7=4,($P$103)+IF($W39=$V$7+$W$7,$P$104,0),0),0))</f>
        <v>14</v>
      </c>
      <c r="W40" s="122"/>
      <c r="X40" s="122">
        <f>(IF($X39&lt;&gt;"",($X$7*$P$105)+IF($X$7=4,($P$103)+IF($X39=$X$7+$Y$7,$P$104,0),0),0)+IF($Y39&lt;&gt;"",($Y$7*$P$105)+IF($Y$7=4,($P$103)+IF($Y39=$X$7+$Y$7,$P$104,0),0),0))</f>
        <v>18</v>
      </c>
      <c r="Y40" s="59"/>
      <c r="Z40" s="122">
        <f>(IF($Z39&lt;&gt;"",($Z$7*$P$105)+IF($Z$7=4,($P$103)+IF($Z39=$Z$7+$AA$7,$P$104,0),0),0)+IF($AA39&lt;&gt;"",($AA$7*$P$105)+IF($AA$7=4,($P$103)+IF($AA39=$Z$7+$AA$7,$P$104,0),0),0))</f>
        <v>18</v>
      </c>
      <c r="AA40" s="60"/>
      <c r="AB40" s="117"/>
      <c r="AC40" s="122">
        <f>(IF($AC39&lt;&gt;"",($AC$7*$Q$105)+IF($AC$7=4,($Q$103)+IF($AC39=$AC$7+$AD$7,$Q$104,0),0),0)+IF($AD39&lt;&gt;"",($AD$7*$Q$105)+IF($AD$7=4,($Q$103)+IF($AD39=$AC$7+$AD$7,$Q$104,0),0),0))</f>
        <v>0</v>
      </c>
      <c r="AD40" s="122"/>
      <c r="AE40" s="122">
        <f>(IF($AE39&lt;&gt;"",($AE$7*$Q$105)+IF($AE$7=4,($Q$103)+IF($AE39=$AE$7+$AF$7,$Q$104,0),0),0)+IF($AF39&lt;&gt;"",($AF$7*$Q$105)+IF($AF$7=4,($Q$103)+IF($AF39=$AE$7+$AF$7,$Q$104,0),0),0))</f>
        <v>2</v>
      </c>
      <c r="AF40" s="82"/>
      <c r="AG40" s="117"/>
      <c r="AH40" s="122">
        <f>(IF($AH39&lt;&gt;"",($AH$7*$Q$105)+IF($AH$7=4,($R$103)+IF($AH39=$AH$7+$AI$7,$R$104,0),0),0)+IF($AI39&lt;&gt;"",($AI$7*$R$105)+IF($AI$7=4,($R$103)+IF($AI39=$AH$7+$AI$7,$R$104,0),0),0))</f>
        <v>32</v>
      </c>
      <c r="AI40" s="128"/>
      <c r="AJ40" s="117"/>
      <c r="AK40" s="89">
        <f>MAX($AL$11:$AL$98) - AL40</f>
        <v>137</v>
      </c>
      <c r="AL40" s="117"/>
    </row>
    <row r="41" spans="1:38" s="27" customFormat="1" hidden="1" x14ac:dyDescent="0.2">
      <c r="A41" s="96"/>
      <c r="B41" s="120" t="s">
        <v>52</v>
      </c>
      <c r="C41" s="114">
        <f>IF(ISBLANK(C39),
0,
IF(C$7= 4, 1, 0))</f>
        <v>0</v>
      </c>
      <c r="D41" s="114">
        <f>IF(ISBLANK(D39),
0,
IF(D$7 = 4, 1, 0))</f>
        <v>0</v>
      </c>
      <c r="E41" s="114">
        <f>IF(ISBLANK(E39),
0,
IF(E$7= 4, 1, 0))</f>
        <v>1</v>
      </c>
      <c r="F41" s="114">
        <f>IF(ISBLANK(F39),
0,
IF(F$7 = 4, 1, 0))</f>
        <v>0</v>
      </c>
      <c r="G41" s="114">
        <f>IF(ISBLANK(G39),
0,
IF(G$7= 4, 1, 0))</f>
        <v>0</v>
      </c>
      <c r="H41" s="114">
        <f>IF(ISBLANK(H39),
0,
IF(H$7 = 4, 1, 0))</f>
        <v>0</v>
      </c>
      <c r="I41" s="114">
        <f>IF(ISBLANK(I39),
0,
IF(I$7= 4, 1, 0))</f>
        <v>0</v>
      </c>
      <c r="J41" s="114">
        <f>IF(ISBLANK(J39),
0,
IF(J$7 = 4, 1, 0))</f>
        <v>0</v>
      </c>
      <c r="K41" s="114">
        <f>IF(ISBLANK(K39),
0,
IF(K$7= 4, 1, 0))</f>
        <v>0</v>
      </c>
      <c r="L41" s="114">
        <f>IF(ISBLANK(L39),
0,
IF(L$7 = 4, 1, 0))</f>
        <v>0</v>
      </c>
      <c r="M41" s="114">
        <f>IF(ISBLANK(M39),
0,
IF(M$7= 4, 1, 0))</f>
        <v>0</v>
      </c>
      <c r="N41" s="114">
        <f>IF(ISBLANK(N39),
0,
IF(N$7 = 4, 1, 0))</f>
        <v>0</v>
      </c>
      <c r="O41" s="114">
        <f>IF(ISBLANK(O39),
0,
IF(O$7= 4, 1, 0))</f>
        <v>0</v>
      </c>
      <c r="P41" s="114">
        <f>IF(ISBLANK(P39),
0,
IF(P$7 = 4, 1, 0))</f>
        <v>0</v>
      </c>
      <c r="Q41" s="114">
        <f>IF(ISBLANK(Q39),
0,
IF(Q$7= 4, 1, 0))</f>
        <v>0</v>
      </c>
      <c r="R41" s="114">
        <f>IF(ISBLANK(R39),
0,
IF(R$7 = 4, 1, 0))</f>
        <v>0</v>
      </c>
      <c r="S41" s="130"/>
      <c r="T41" s="114">
        <f>IF(ISBLANK(T39),
0,
IF(T$7= 4, 1, 0))</f>
        <v>0</v>
      </c>
      <c r="U41" s="114">
        <f>IF(ISBLANK(U39),
0,
IF(U$7 = 4, 1, 0))</f>
        <v>0</v>
      </c>
      <c r="V41" s="114">
        <f>IF(ISBLANK(V39),
0,
IF(V$7= 4, 1, 0))</f>
        <v>0</v>
      </c>
      <c r="W41" s="114">
        <f>IF(ISBLANK(W39),
0,
IF(W$7 = 4, 1, 0))</f>
        <v>1</v>
      </c>
      <c r="X41" s="114">
        <f>IF(ISBLANK(X39),
0,
IF(X$7= 4, 1, 0))</f>
        <v>1</v>
      </c>
      <c r="Y41" s="114">
        <f>IF(ISBLANK(Y39),
0,
IF(Y$7 = 4, 1, 0))</f>
        <v>0</v>
      </c>
      <c r="Z41" s="114">
        <f>IF(ISBLANK(Z39),
0,
IF(Z$7= 4, 1, 0))</f>
        <v>1</v>
      </c>
      <c r="AA41" s="114">
        <f>IF(ISBLANK(AA39),
0,
IF(AA$7 = 4, 1, 0))</f>
        <v>0</v>
      </c>
      <c r="AB41" s="130"/>
      <c r="AC41" s="114">
        <f>IF(ISBLANK(AC39),
0,
IF(AC$7= 4, 1, 0))</f>
        <v>0</v>
      </c>
      <c r="AD41" s="114">
        <f>IF(ISBLANK(AD39),
0,
IF(AD$7 = 4, 1, 0))</f>
        <v>0</v>
      </c>
      <c r="AE41" s="114">
        <f>IF(ISBLANK(AE39),
0,
IF(AE$7= 4, 1, 0))</f>
        <v>0</v>
      </c>
      <c r="AF41" s="114">
        <f>IF(ISBLANK(AF39),
0,
IF(AF$7 = 4, 1, 0))</f>
        <v>0</v>
      </c>
      <c r="AG41" s="130"/>
      <c r="AH41" s="114">
        <f>IF(ISBLANK(AH39),
0,
IF(AH$7= 4, 1, 0))</f>
        <v>0</v>
      </c>
      <c r="AI41" s="114">
        <f>IF(ISBLANK(AI39),
0,
IF(AI$7 = 4, 1, 0))</f>
        <v>1</v>
      </c>
      <c r="AJ41" s="130"/>
      <c r="AK41" s="131">
        <f>SUM(C41:AI41)</f>
        <v>5</v>
      </c>
      <c r="AL41" s="119"/>
    </row>
    <row r="42" spans="1:38" s="27" customFormat="1" hidden="1" x14ac:dyDescent="0.2">
      <c r="A42" s="96"/>
      <c r="B42" s="120" t="s">
        <v>53</v>
      </c>
      <c r="C42" s="114">
        <f>IF(C41 = 0,
0,
IF(C39 = (C$7+D$7),1,0))</f>
        <v>0</v>
      </c>
      <c r="D42" s="114">
        <f>IF(D41 = 0,
0,
IF(D39 = (C$7+D$7),1,0))</f>
        <v>0</v>
      </c>
      <c r="E42" s="114">
        <f>IF(E41 = 0,
0,
IF(E39 = (E$7+F$7),1,0))</f>
        <v>1</v>
      </c>
      <c r="F42" s="114">
        <f>IF(F41 = 0,
0,
IF(F39 = (E$7+F$7),1,0))</f>
        <v>0</v>
      </c>
      <c r="G42" s="114">
        <f>IF(G41 = 0,
0,
IF(G39 = (G$7+H$7),1,0))</f>
        <v>0</v>
      </c>
      <c r="H42" s="114">
        <f>IF(H41 = 0,
0,
IF(H39 = (G$7+H$7),1,0))</f>
        <v>0</v>
      </c>
      <c r="I42" s="114">
        <f>IF(I41 = 0,
0,
IF(I39 = (I$7+J$7),1,0))</f>
        <v>0</v>
      </c>
      <c r="J42" s="114">
        <f>IF(J41 = 0,
0,
IF(J39 = (I$7+J$7),1,0))</f>
        <v>0</v>
      </c>
      <c r="K42" s="114">
        <f>IF(K41 = 0,
0,
IF(K39 = (K$7+L$7),1,0))</f>
        <v>0</v>
      </c>
      <c r="L42" s="114">
        <f>IF(L41 = 0,
0,
IF(L39 = (K$7+L$7),1,0))</f>
        <v>0</v>
      </c>
      <c r="M42" s="114">
        <f>IF(M41 = 0,
0,
IF(M39 = (M$7+N$7),1,0))</f>
        <v>0</v>
      </c>
      <c r="N42" s="114">
        <f>IF(N41 = 0,
0,
IF(N39 = (M$7+N$7),1,0))</f>
        <v>0</v>
      </c>
      <c r="O42" s="114">
        <f>IF(O41 = 0,
0,
IF(O39 = (O$7+P$7),1,0))</f>
        <v>0</v>
      </c>
      <c r="P42" s="114">
        <f>IF(P41 = 0,
0,
IF(P39 = (O$7+P$7),1,0))</f>
        <v>0</v>
      </c>
      <c r="Q42" s="114">
        <f>IF(Q41 = 0,
0,
IF(Q39 = (Q$7+R$7),1,0))</f>
        <v>0</v>
      </c>
      <c r="R42" s="114">
        <f>IF(R41 = 0,
0,
IF(R39 = (Q$7+R$7),1,0))</f>
        <v>0</v>
      </c>
      <c r="S42" s="130"/>
      <c r="T42" s="114">
        <f>IF(T41 = 0,
0,
IF(T39 = (T$7+U$7),1,0))</f>
        <v>0</v>
      </c>
      <c r="U42" s="114">
        <f>IF(U41 = 0,
0,
IF(U39 = (T$7+U$7),1,0))</f>
        <v>0</v>
      </c>
      <c r="V42" s="114">
        <f>IF(V41 = 0,
0,
IF(V39 = (V$7+W$7),1,0))</f>
        <v>0</v>
      </c>
      <c r="W42" s="114">
        <f>IF(W41 = 0,
0,
IF(W39 = (V$7+W$7),1,0))</f>
        <v>0</v>
      </c>
      <c r="X42" s="114">
        <f>IF(X41 = 0,
0,
IF(X39 = (X$7+Y$7),1,0))</f>
        <v>1</v>
      </c>
      <c r="Y42" s="114">
        <f>IF(Y41 = 0,
0,
IF(Y39 = (X$7+Y$7),1,0))</f>
        <v>0</v>
      </c>
      <c r="Z42" s="114">
        <f>IF(Z41 = 0,
0,
IF(Z39 = (Z$7+AA$7),1,0))</f>
        <v>1</v>
      </c>
      <c r="AA42" s="114">
        <f>IF(AA41 = 0,
0,
IF(AA39 = (Z$7+AA$7),1,0))</f>
        <v>0</v>
      </c>
      <c r="AB42" s="130"/>
      <c r="AC42" s="114">
        <f>IF(AC41 = 0,
0,
IF(AC39 = (AC$7+AD$7),1,0))</f>
        <v>0</v>
      </c>
      <c r="AD42" s="114">
        <f>IF(AD41 = 0,
0,
IF(AD39 = (AC$7+AD$7),1,0))</f>
        <v>0</v>
      </c>
      <c r="AE42" s="114">
        <f>IF(AE41 = 0,
0,
IF(AE39 = (AE$7+AF$7),1,0))</f>
        <v>0</v>
      </c>
      <c r="AF42" s="114">
        <f>IF(AF41 = 0,
0,
IF(AF39 = (AE$7+AF$7),1,0))</f>
        <v>0</v>
      </c>
      <c r="AG42" s="130"/>
      <c r="AH42" s="114">
        <f>IF(AH41 = 0,
0,
IF(AH39 = (AH$7+AI$7),1,0))</f>
        <v>0</v>
      </c>
      <c r="AI42" s="114">
        <f>IF(AI41 = 0,
0,
IF(AI39 = (AH$7+AI$7),1,0))</f>
        <v>1</v>
      </c>
      <c r="AJ42" s="130"/>
      <c r="AK42" s="131">
        <f>SUM(C42:AI42)</f>
        <v>4</v>
      </c>
      <c r="AL42" s="119"/>
    </row>
    <row r="43" spans="1:38" s="27" customFormat="1" ht="12.75" customHeight="1" x14ac:dyDescent="0.2">
      <c r="A43" s="201">
        <f>RANK(AL43,$AL$11:$AL$98,)</f>
        <v>9</v>
      </c>
      <c r="B43" s="202" t="s">
        <v>63</v>
      </c>
      <c r="C43" s="214">
        <v>4</v>
      </c>
      <c r="D43" s="215"/>
      <c r="E43" s="219">
        <v>4</v>
      </c>
      <c r="F43" s="215"/>
      <c r="G43" s="217">
        <v>6</v>
      </c>
      <c r="H43" s="218"/>
      <c r="I43" s="219">
        <v>6</v>
      </c>
      <c r="J43" s="218"/>
      <c r="K43" s="220">
        <v>7</v>
      </c>
      <c r="L43" s="218"/>
      <c r="M43" s="219">
        <v>5</v>
      </c>
      <c r="N43" s="215"/>
      <c r="O43" s="219">
        <v>4</v>
      </c>
      <c r="P43" s="215"/>
      <c r="Q43" s="217"/>
      <c r="R43" s="222">
        <v>6</v>
      </c>
      <c r="S43" s="224">
        <f>SUM(C44:R44)</f>
        <v>29</v>
      </c>
      <c r="T43" s="239">
        <v>6</v>
      </c>
      <c r="U43" s="218"/>
      <c r="V43" s="219">
        <v>5</v>
      </c>
      <c r="W43" s="218"/>
      <c r="X43" s="220"/>
      <c r="Y43" s="215">
        <v>7</v>
      </c>
      <c r="Z43" s="217">
        <v>6</v>
      </c>
      <c r="AA43" s="218"/>
      <c r="AB43" s="224">
        <f>SUM(T44:AA44)</f>
        <v>35</v>
      </c>
      <c r="AC43" s="217">
        <v>6</v>
      </c>
      <c r="AD43" s="218"/>
      <c r="AE43" s="220"/>
      <c r="AF43" s="218">
        <v>7</v>
      </c>
      <c r="AG43" s="224">
        <f>SUM(AC44:AF44)</f>
        <v>38</v>
      </c>
      <c r="AH43" s="227">
        <v>4</v>
      </c>
      <c r="AI43" s="212"/>
      <c r="AJ43" s="224">
        <f>AH44</f>
        <v>3</v>
      </c>
      <c r="AK43" s="226">
        <f>MAX($AL$11:$AL$98) - AL43</f>
        <v>32</v>
      </c>
      <c r="AL43" s="224">
        <f>$S43+$AB43+$AG43+$AJ43</f>
        <v>105</v>
      </c>
    </row>
    <row r="44" spans="1:38" s="27" customFormat="1" ht="12.75" hidden="1" customHeight="1" x14ac:dyDescent="0.2">
      <c r="A44" s="113" t="e">
        <f>RANK(AL44,$AL$11:$AL$98,)</f>
        <v>#N/A</v>
      </c>
      <c r="B44" s="95"/>
      <c r="C44" s="72">
        <f>(IF($C43&lt;&gt;"",($C$7*$O$105)+IF($C$7=4,($O$103)+IF($C43=$C$7+$D$7,$O$104,0),0),0)+IF($D43&lt;&gt;"",($D$7*$O$105)+IF($D$7=4,($O$103)+IF($D43=$C$7+$D$7,$O$104,0),0),0))</f>
        <v>0</v>
      </c>
      <c r="D44" s="73"/>
      <c r="E44" s="112">
        <f>(IF($E43&lt;&gt;"",($E$7*$O$105)+IF($E$7=4,($O$103)+IF($E43=$E$7+$F$7,$O$104,0),0),0)+IF($F43&lt;&gt;"",($F$7*$O$105)+IF($F$7=4,($O$103)+IF($F43=$E$7+$F$7,$O$104,0),0),0))</f>
        <v>9</v>
      </c>
      <c r="F44" s="73"/>
      <c r="G44" s="74">
        <f>(IF($G43&lt;&gt;"",($G$7*$O$105)+IF($G$7=4,($O$103)+IF($G43=$G$7+$H$7,$O$104,0),0),0)+IF($H43&lt;&gt;"",($H$7*$O$105)+IF($H$7=4,($O$103)+IF($H43=$G$7+$H$7,$O$104,0),0),0))</f>
        <v>3</v>
      </c>
      <c r="H44" s="73"/>
      <c r="I44" s="112">
        <f>(IF($I43&lt;&gt;"",($I$7*$O$105)+IF($I$7=4,($O$103)+IF($I43=$I$7+$J$7,$O$104,0),0),0)+IF($J43&lt;&gt;"",($J$7*$O$105)+IF($J$7=4,($O$103)+IF($J43=$I$7+$J$7,$O$104,0),0),0))</f>
        <v>9</v>
      </c>
      <c r="J44" s="75"/>
      <c r="K44" s="76">
        <f>(IF($K43&lt;&gt;"",($K$7*$O$105)+IF($K$7=4,($O$103)+IF($K43=$K$7+$L$7,$O$104,0),0),0)+IF($L43&lt;&gt;"",($L$7*$O$105)+IF($L$7=4,($O$103)+IF($L43=$K$7+$L$7,$O$104,0),0),0))</f>
        <v>1</v>
      </c>
      <c r="L44" s="73"/>
      <c r="M44" s="74">
        <f>(IF($M43&lt;&gt;"",($M$7*$O$105)+IF($M$7=4,($O$103)+IF($M43=$M$7+$N$7,$O$104,0),0),0)+IF($N43&lt;&gt;"",($N$7*$O$105)+IF($N$7=4,($O$103)+IF($N43=$M$7+$N$7,$O$104,0),0),0))</f>
        <v>2</v>
      </c>
      <c r="N44" s="138"/>
      <c r="O44" s="74">
        <f>(IF($O43&lt;&gt;"",($O$7*$O$105)+IF($O$7=4,($O$103)+IF($O43=$O$7+$P$7,$O$104,0),0),0)+IF($P43&lt;&gt;"",($P$7*$O$105)+IF($P$7=4,($O$103)+IF($P43=$O$7+$P$7,$O$104,0),0),0))</f>
        <v>2</v>
      </c>
      <c r="P44" s="73"/>
      <c r="Q44" s="74">
        <f>(IF($Q43&lt;&gt;"",($Q$7*$O$105)+IF($Q$7=4,($O$103)+IF($Q43=$Q$7+$R$7,$O$104,0),0),0)+IF($R43&lt;&gt;"",($R$7*$O$105)+IF($R$7=4,($O$103)+IF($R43=$Q$7+$R$7,$O$104,0),0),0))</f>
        <v>3</v>
      </c>
      <c r="R44" s="77"/>
      <c r="S44" s="117"/>
      <c r="T44" s="122">
        <f>(IF($T43&lt;&gt;"",($T$7*$P$105)+IF($T$7=4,($P$103)+IF($T43=$T$7+$U$7,$P$104,0),0),0)+IF($U43&lt;&gt;"",($U$7*$P$105)+IF($U$7=4,($P$103)+IF($U43=$T$7+$U$7,$P$104,0),0),0))</f>
        <v>18</v>
      </c>
      <c r="U44" s="122"/>
      <c r="V44" s="122">
        <f>(IF($V43&lt;&gt;"",($V$7*$P$105)+IF($V$7=4,($P$103)+IF($V43=$V$7+$W$7,$P$104,0),0),0)+IF($W43&lt;&gt;"",($W$7*$P$105)+IF($W$7=4,($P$103)+IF($W43=$V$7+$W$7,$P$104,0),0),0))</f>
        <v>0</v>
      </c>
      <c r="W44" s="122"/>
      <c r="X44" s="122">
        <f>(IF($X43&lt;&gt;"",($X$7*$P$105)+IF($X$7=4,($P$103)+IF($X43=$X$7+$Y$7,$P$104,0),0),0)+IF($Y43&lt;&gt;"",($Y$7*$P$105)+IF($Y$7=4,($P$103)+IF($Y43=$X$7+$Y$7,$P$104,0),0),0))</f>
        <v>3</v>
      </c>
      <c r="Y44" s="59"/>
      <c r="Z44" s="122">
        <f>(IF($Z43&lt;&gt;"",($Z$7*$P$105)+IF($Z$7=4,($P$103)+IF($Z43=$Z$7+$AA$7,$P$104,0),0),0)+IF($AA43&lt;&gt;"",($AA$7*$P$105)+IF($AA$7=4,($P$103)+IF($AA43=$Z$7+$AA$7,$P$104,0),0),0))</f>
        <v>14</v>
      </c>
      <c r="AA44" s="60"/>
      <c r="AB44" s="117"/>
      <c r="AC44" s="122">
        <f>(IF($AC43&lt;&gt;"",($AC$7*$Q$105)+IF($AC$7=4,($Q$103)+IF($AC43=$AC$7+$AD$7,$Q$104,0),0),0)+IF($AD43&lt;&gt;"",($AD$7*$Q$105)+IF($AD$7=4,($Q$103)+IF($AD43=$AC$7+$AD$7,$Q$104,0),0),0))</f>
        <v>19</v>
      </c>
      <c r="AD44" s="122"/>
      <c r="AE44" s="122">
        <f>(IF($AE43&lt;&gt;"",($AE$7*$Q$105)+IF($AE$7=4,($Q$103)+IF($AE43=$AE$7+$AF$7,$Q$104,0),0),0)+IF($AF43&lt;&gt;"",($AF$7*$Q$105)+IF($AF$7=4,($Q$103)+IF($AF43=$AE$7+$AF$7,$Q$104,0),0),0))</f>
        <v>19</v>
      </c>
      <c r="AF44" s="82"/>
      <c r="AG44" s="117"/>
      <c r="AH44" s="122">
        <f>(IF($AH43&lt;&gt;"",($AH$7*$Q$105)+IF($AH$7=4,($R$103)+IF($AH43=$AH$7+$AI$7,$R$104,0),0),0)+IF($AI43&lt;&gt;"",($AI$7*$R$105)+IF($AI$7=4,($R$103)+IF($AI43=$AH$7+$AI$7,$R$104,0),0),0))</f>
        <v>3</v>
      </c>
      <c r="AI44" s="128"/>
      <c r="AJ44" s="117"/>
      <c r="AK44" s="107">
        <f>MAX($AL$11:$AL$98) - AL44</f>
        <v>137</v>
      </c>
      <c r="AL44" s="117"/>
    </row>
    <row r="45" spans="1:38" s="27" customFormat="1" hidden="1" x14ac:dyDescent="0.2">
      <c r="A45" s="96"/>
      <c r="B45" s="120" t="s">
        <v>52</v>
      </c>
      <c r="C45" s="114">
        <f>IF(ISBLANK(C43),
0,
IF(C$7= 4, 1, 0))</f>
        <v>0</v>
      </c>
      <c r="D45" s="114">
        <f>IF(ISBLANK(D43),
0,
IF(D$7 = 4, 1, 0))</f>
        <v>0</v>
      </c>
      <c r="E45" s="114">
        <f>IF(ISBLANK(E43),
0,
IF(E$7= 4, 1, 0))</f>
        <v>1</v>
      </c>
      <c r="F45" s="114">
        <f>IF(ISBLANK(F43),
0,
IF(F$7 = 4, 1, 0))</f>
        <v>0</v>
      </c>
      <c r="G45" s="114">
        <f>IF(ISBLANK(G43),
0,
IF(G$7= 4, 1, 0))</f>
        <v>0</v>
      </c>
      <c r="H45" s="114">
        <f>IF(ISBLANK(H43),
0,
IF(H$7 = 4, 1, 0))</f>
        <v>0</v>
      </c>
      <c r="I45" s="114">
        <f>IF(ISBLANK(I43),
0,
IF(I$7= 4, 1, 0))</f>
        <v>1</v>
      </c>
      <c r="J45" s="114">
        <f>IF(ISBLANK(J43),
0,
IF(J$7 = 4, 1, 0))</f>
        <v>0</v>
      </c>
      <c r="K45" s="114">
        <f>IF(ISBLANK(K43),
0,
IF(K$7= 4, 1, 0))</f>
        <v>0</v>
      </c>
      <c r="L45" s="114">
        <f>IF(ISBLANK(L43),
0,
IF(L$7 = 4, 1, 0))</f>
        <v>0</v>
      </c>
      <c r="M45" s="114">
        <f>IF(ISBLANK(M43),
0,
IF(M$7= 4, 1, 0))</f>
        <v>0</v>
      </c>
      <c r="N45" s="129">
        <f>IF(ISBLANK(N43),
0,
IF(N$7 = 4, 1, 0))</f>
        <v>0</v>
      </c>
      <c r="O45" s="114">
        <f>IF(ISBLANK(O43),
0,
IF(O$7= 4, 1, 0))</f>
        <v>0</v>
      </c>
      <c r="P45" s="114">
        <f>IF(ISBLANK(P43),
0,
IF(P$7 = 4, 1, 0))</f>
        <v>0</v>
      </c>
      <c r="Q45" s="114">
        <f>IF(ISBLANK(Q43),
0,
IF(Q$7= 4, 1, 0))</f>
        <v>0</v>
      </c>
      <c r="R45" s="114">
        <f>IF(ISBLANK(R43),
0,
IF(R$7 = 4, 1, 0))</f>
        <v>0</v>
      </c>
      <c r="S45" s="130"/>
      <c r="T45" s="114">
        <f>IF(ISBLANK(T43),
0,
IF(T$7= 4, 1, 0))</f>
        <v>1</v>
      </c>
      <c r="U45" s="114">
        <f>IF(ISBLANK(U43),
0,
IF(U$7 = 4, 1, 0))</f>
        <v>0</v>
      </c>
      <c r="V45" s="114">
        <f>IF(ISBLANK(V43),
0,
IF(V$7= 4, 1, 0))</f>
        <v>0</v>
      </c>
      <c r="W45" s="114">
        <f>IF(ISBLANK(W43),
0,
IF(W$7 = 4, 1, 0))</f>
        <v>0</v>
      </c>
      <c r="X45" s="114">
        <f>IF(ISBLANK(X43),
0,
IF(X$7= 4, 1, 0))</f>
        <v>0</v>
      </c>
      <c r="Y45" s="114">
        <f>IF(ISBLANK(Y43),
0,
IF(Y$7 = 4, 1, 0))</f>
        <v>0</v>
      </c>
      <c r="Z45" s="114">
        <f>IF(ISBLANK(Z43),
0,
IF(Z$7= 4, 1, 0))</f>
        <v>1</v>
      </c>
      <c r="AA45" s="114">
        <f>IF(ISBLANK(AA43),
0,
IF(AA$7 = 4, 1, 0))</f>
        <v>0</v>
      </c>
      <c r="AB45" s="130"/>
      <c r="AC45" s="114">
        <f>IF(ISBLANK(AC43),
0,
IF(AC$7= 4, 1, 0))</f>
        <v>1</v>
      </c>
      <c r="AD45" s="114">
        <f>IF(ISBLANK(AD43),
0,
IF(AD$7 = 4, 1, 0))</f>
        <v>0</v>
      </c>
      <c r="AE45" s="114">
        <f>IF(ISBLANK(AE43),
0,
IF(AE$7= 4, 1, 0))</f>
        <v>0</v>
      </c>
      <c r="AF45" s="114">
        <f>IF(ISBLANK(AF43),
0,
IF(AF$7 = 4, 1, 0))</f>
        <v>1</v>
      </c>
      <c r="AG45" s="130"/>
      <c r="AH45" s="114">
        <f>IF(ISBLANK(AH43),
0,
IF(AH$7= 4, 1, 0))</f>
        <v>0</v>
      </c>
      <c r="AI45" s="114">
        <f>IF(ISBLANK(AI43),
0,
IF(AI$7 = 4, 1, 0))</f>
        <v>0</v>
      </c>
      <c r="AJ45" s="130"/>
      <c r="AK45" s="131">
        <f>SUM(C45:AI45)</f>
        <v>6</v>
      </c>
      <c r="AL45" s="119"/>
    </row>
    <row r="46" spans="1:38" s="27" customFormat="1" hidden="1" x14ac:dyDescent="0.2">
      <c r="A46" s="96"/>
      <c r="B46" s="120" t="s">
        <v>53</v>
      </c>
      <c r="C46" s="114">
        <f>IF(C45 = 0,
0,
IF(C43 = (C$7+D$7),1,0))</f>
        <v>0</v>
      </c>
      <c r="D46" s="114">
        <f>IF(D45 = 0,
0,
IF(D43 = (C$7+D$7),1,0))</f>
        <v>0</v>
      </c>
      <c r="E46" s="114">
        <f>IF(E45 = 0,
0,
IF(E43 = (E$7+F$7),1,0))</f>
        <v>0</v>
      </c>
      <c r="F46" s="114">
        <f>IF(F45 = 0,
0,
IF(F43 = (E$7+F$7),1,0))</f>
        <v>0</v>
      </c>
      <c r="G46" s="114">
        <f>IF(G45 = 0,
0,
IF(G43 = (G$7+H$7),1,0))</f>
        <v>0</v>
      </c>
      <c r="H46" s="114">
        <f>IF(H45 = 0,
0,
IF(H43 = (G$7+H$7),1,0))</f>
        <v>0</v>
      </c>
      <c r="I46" s="114">
        <f>IF(I45 = 0,
0,
IF(I43 = (I$7+J$7),1,0))</f>
        <v>0</v>
      </c>
      <c r="J46" s="114">
        <f>IF(J45 = 0,
0,
IF(J43 = (I$7+J$7),1,0))</f>
        <v>0</v>
      </c>
      <c r="K46" s="114">
        <f>IF(K45 = 0,
0,
IF(K43 = (K$7+L$7),1,0))</f>
        <v>0</v>
      </c>
      <c r="L46" s="114">
        <f>IF(L45 = 0,
0,
IF(L43 = (K$7+L$7),1,0))</f>
        <v>0</v>
      </c>
      <c r="M46" s="114">
        <f>IF(M45 = 0,
0,
IF(M43 = (M$7+N$7),1,0))</f>
        <v>0</v>
      </c>
      <c r="N46" s="129">
        <f>IF(N45 = 0,
0,
IF(N43 = (M$7+N$7),1,0))</f>
        <v>0</v>
      </c>
      <c r="O46" s="114">
        <f>IF(O45 = 0,
0,
IF(O43 = (O$7+P$7),1,0))</f>
        <v>0</v>
      </c>
      <c r="P46" s="114">
        <f>IF(P45 = 0,
0,
IF(P43 = (O$7+P$7),1,0))</f>
        <v>0</v>
      </c>
      <c r="Q46" s="114">
        <f>IF(Q45 = 0,
0,
IF(Q43 = (Q$7+R$7),1,0))</f>
        <v>0</v>
      </c>
      <c r="R46" s="114">
        <f>IF(R45 = 0,
0,
IF(R43 = (Q$7+R$7),1,0))</f>
        <v>0</v>
      </c>
      <c r="S46" s="130"/>
      <c r="T46" s="114">
        <f>IF(T45 = 0,
0,
IF(T43 = (T$7+U$7),1,0))</f>
        <v>1</v>
      </c>
      <c r="U46" s="114">
        <f>IF(U45 = 0,
0,
IF(U43 = (T$7+U$7),1,0))</f>
        <v>0</v>
      </c>
      <c r="V46" s="114">
        <f>IF(V45 = 0,
0,
IF(V43 = (V$7+W$7),1,0))</f>
        <v>0</v>
      </c>
      <c r="W46" s="114">
        <f>IF(W45 = 0,
0,
IF(W43 = (V$7+W$7),1,0))</f>
        <v>0</v>
      </c>
      <c r="X46" s="114">
        <f>IF(X45 = 0,
0,
IF(X43 = (X$7+Y$7),1,0))</f>
        <v>0</v>
      </c>
      <c r="Y46" s="114">
        <f>IF(Y45 = 0,
0,
IF(Y43 = (X$7+Y$7),1,0))</f>
        <v>0</v>
      </c>
      <c r="Z46" s="114">
        <f>IF(Z45 = 0,
0,
IF(Z43 = (Z$7+AA$7),1,0))</f>
        <v>0</v>
      </c>
      <c r="AA46" s="114">
        <f>IF(AA45 = 0,
0,
IF(AA43 = (Z$7+AA$7),1,0))</f>
        <v>0</v>
      </c>
      <c r="AB46" s="130"/>
      <c r="AC46" s="114">
        <f>IF(AC45 = 0,
0,
IF(AC43 = (AC$7+AD$7),1,0))</f>
        <v>0</v>
      </c>
      <c r="AD46" s="114">
        <f>IF(AD45 = 0,
0,
IF(AD43 = (AC$7+AD$7),1,0))</f>
        <v>0</v>
      </c>
      <c r="AE46" s="114">
        <f>IF(AE45 = 0,
0,
IF(AE43 = (AE$7+AF$7),1,0))</f>
        <v>0</v>
      </c>
      <c r="AF46" s="114">
        <f>IF(AF45 = 0,
0,
IF(AF43 = (AE$7+AF$7),1,0))</f>
        <v>0</v>
      </c>
      <c r="AG46" s="130"/>
      <c r="AH46" s="114">
        <f>IF(AH45 = 0,
0,
IF(AH43 = (AH$7+AI$7),1,0))</f>
        <v>0</v>
      </c>
      <c r="AI46" s="114">
        <f>IF(AI45 = 0,
0,
IF(AI43 = (AH$7+AI$7),1,0))</f>
        <v>0</v>
      </c>
      <c r="AJ46" s="130"/>
      <c r="AK46" s="131">
        <f>SUM(C46:AI46)</f>
        <v>1</v>
      </c>
      <c r="AL46" s="119"/>
    </row>
    <row r="47" spans="1:38" s="27" customFormat="1" ht="12.75" customHeight="1" x14ac:dyDescent="0.2">
      <c r="A47" s="113">
        <f>RANK(AL47,$AL$11:$AL$98,)</f>
        <v>10</v>
      </c>
      <c r="B47" s="81" t="s">
        <v>79</v>
      </c>
      <c r="C47" s="46">
        <v>6</v>
      </c>
      <c r="D47" s="45"/>
      <c r="E47" s="44">
        <v>5</v>
      </c>
      <c r="F47" s="45"/>
      <c r="G47" s="48">
        <v>7</v>
      </c>
      <c r="H47" s="47"/>
      <c r="I47" s="44"/>
      <c r="J47" s="47">
        <v>6</v>
      </c>
      <c r="K47" s="49">
        <v>6</v>
      </c>
      <c r="L47" s="47"/>
      <c r="M47" s="44"/>
      <c r="N47" s="45">
        <v>7</v>
      </c>
      <c r="O47" s="44">
        <v>6</v>
      </c>
      <c r="P47" s="45"/>
      <c r="Q47" s="200">
        <v>7</v>
      </c>
      <c r="R47" s="50"/>
      <c r="S47" s="118">
        <f>SUM(C48:R48)</f>
        <v>35</v>
      </c>
      <c r="T47" s="46"/>
      <c r="U47" s="47">
        <v>7</v>
      </c>
      <c r="V47" s="44">
        <v>6</v>
      </c>
      <c r="W47" s="47"/>
      <c r="X47" s="49"/>
      <c r="Y47" s="45">
        <v>7</v>
      </c>
      <c r="Z47" s="48">
        <v>6</v>
      </c>
      <c r="AA47" s="47"/>
      <c r="AB47" s="118">
        <f>SUM(T48:AA48)</f>
        <v>19</v>
      </c>
      <c r="AC47" s="48"/>
      <c r="AD47" s="47">
        <v>7</v>
      </c>
      <c r="AE47" s="49"/>
      <c r="AF47" s="47">
        <v>7</v>
      </c>
      <c r="AG47" s="118">
        <f>SUM(AC48:AF48)</f>
        <v>19</v>
      </c>
      <c r="AH47" s="99"/>
      <c r="AI47" s="57">
        <v>6</v>
      </c>
      <c r="AJ47" s="118">
        <f>AH48</f>
        <v>24</v>
      </c>
      <c r="AK47" s="107">
        <f>MAX($AL$11:$AL$98) - AL47</f>
        <v>40</v>
      </c>
      <c r="AL47" s="118">
        <f>$S47+$AB47+$AG47+$AJ47</f>
        <v>97</v>
      </c>
    </row>
    <row r="48" spans="1:38" s="27" customFormat="1" ht="12.75" hidden="1" customHeight="1" x14ac:dyDescent="0.2">
      <c r="A48" s="113" t="e">
        <f>RANK(AL48,$AL$11:$AL$98,)</f>
        <v>#N/A</v>
      </c>
      <c r="B48" s="95"/>
      <c r="C48" s="72">
        <f>(IF($C47&lt;&gt;"",($C$7*$O$105)+IF($C$7=4,($O$103)+IF($C47=$C$7+$D$7,$O$104,0),0),0)+IF($D47&lt;&gt;"",($D$7*$O$105)+IF($D$7=4,($O$103)+IF($D47=$C$7+$D$7,$O$104,0),0),0))</f>
        <v>0</v>
      </c>
      <c r="D48" s="73"/>
      <c r="E48" s="74">
        <f>(IF($E47&lt;&gt;"",($E$7*$O$105)+IF($E$7=4,($O$103)+IF($E47=$E$7+$F$7,$O$104,0),0),0)+IF($F47&lt;&gt;"",($F$7*$O$105)+IF($F$7=4,($O$103)+IF($F47=$E$7+$F$7,$O$104,0),0),0))</f>
        <v>9</v>
      </c>
      <c r="F48" s="73"/>
      <c r="G48" s="74">
        <f>(IF($G47&lt;&gt;"",($G$7*$O$105)+IF($G$7=4,($O$103)+IF($G47=$G$7+$H$7,$O$104,0),0),0)+IF($H47&lt;&gt;"",($H$7*$O$105)+IF($H$7=4,($O$103)+IF($H47=$G$7+$H$7,$O$104,0),0),0))</f>
        <v>3</v>
      </c>
      <c r="H48" s="73"/>
      <c r="I48" s="74">
        <f>(IF($I47&lt;&gt;"",($I$7*$O$105)+IF($I$7=4,($O$103)+IF($I47=$I$7+$J$7,$O$104,0),0),0)+IF($J47&lt;&gt;"",($J$7*$O$105)+IF($J$7=4,($O$103)+IF($J47=$I$7+$J$7,$O$104,0),0),0))</f>
        <v>0</v>
      </c>
      <c r="J48" s="75"/>
      <c r="K48" s="76">
        <f>(IF($K47&lt;&gt;"",($K$7*$O$105)+IF($K$7=4,($O$103)+IF($K47=$K$7+$L$7,$O$104,0),0),0)+IF($L47&lt;&gt;"",($L$7*$O$105)+IF($L$7=4,($O$103)+IF($L47=$K$7+$L$7,$O$104,0),0),0))</f>
        <v>1</v>
      </c>
      <c r="L48" s="73"/>
      <c r="M48" s="74">
        <f>(IF($M47&lt;&gt;"",($M$7*$O$105)+IF($M$7=4,($O$103)+IF($M47=$M$7+$N$7,$O$104,0),0),0)+IF($N47&lt;&gt;"",($N$7*$O$105)+IF($N$7=4,($O$103)+IF($N47=$M$7+$N$7,$O$104,0),0),0))</f>
        <v>9</v>
      </c>
      <c r="N48" s="73"/>
      <c r="O48" s="74">
        <f>(IF($O47&lt;&gt;"",($O$7*$O$105)+IF($O$7=4,($O$103)+IF($O47=$O$7+$P$7,$O$104,0),0),0)+IF($P47&lt;&gt;"",($P$7*$O$105)+IF($P$7=4,($O$103)+IF($P47=$O$7+$P$7,$O$104,0),0),0))</f>
        <v>2</v>
      </c>
      <c r="P48" s="73"/>
      <c r="Q48" s="74">
        <f>(IF($Q47&lt;&gt;"",($Q$7*$O$105)+IF($Q$7=4,($O$103)+IF($Q47=$Q$7+$R$7,$O$104,0),0),0)+IF($R47&lt;&gt;"",($R$7*$O$105)+IF($R$7=4,($O$103)+IF($R47=$Q$7+$R$7,$O$104,0),0),0))</f>
        <v>11</v>
      </c>
      <c r="R48" s="77"/>
      <c r="S48" s="117"/>
      <c r="T48" s="122">
        <f>(IF($T47&lt;&gt;"",($T$7*$P$105)+IF($T$7=4,($P$103)+IF($T47=$T$7+$U$7,$P$104,0),0),0)+IF($U47&lt;&gt;"",($U$7*$P$105)+IF($U$7=4,($P$103)+IF($U47=$T$7+$U$7,$P$104,0),0),0))</f>
        <v>2</v>
      </c>
      <c r="U48" s="122"/>
      <c r="V48" s="122">
        <f>(IF($V47&lt;&gt;"",($V$7*$P$105)+IF($V$7=4,($P$103)+IF($V47=$V$7+$W$7,$P$104,0),0),0)+IF($W47&lt;&gt;"",($W$7*$P$105)+IF($W$7=4,($P$103)+IF($W47=$V$7+$W$7,$P$104,0),0),0))</f>
        <v>0</v>
      </c>
      <c r="W48" s="122"/>
      <c r="X48" s="122">
        <f>(IF($X47&lt;&gt;"",($X$7*$P$105)+IF($X$7=4,($P$103)+IF($X47=$X$7+$Y$7,$P$104,0),0),0)+IF($Y47&lt;&gt;"",($Y$7*$P$105)+IF($Y$7=4,($P$103)+IF($Y47=$X$7+$Y$7,$P$104,0),0),0))</f>
        <v>3</v>
      </c>
      <c r="Y48" s="59"/>
      <c r="Z48" s="122">
        <f>(IF($Z47&lt;&gt;"",($Z$7*$P$105)+IF($Z$7=4,($P$103)+IF($Z47=$Z$7+$AA$7,$P$104,0),0),0)+IF($AA47&lt;&gt;"",($AA$7*$P$105)+IF($AA$7=4,($P$103)+IF($AA47=$Z$7+$AA$7,$P$104,0),0),0))</f>
        <v>14</v>
      </c>
      <c r="AA48" s="60"/>
      <c r="AB48" s="117"/>
      <c r="AC48" s="122">
        <f>(IF($AC47&lt;&gt;"",($AC$7*$Q$105)+IF($AC$7=4,($Q$103)+IF($AC47=$AC$7+$AD$7,$Q$104,0),0),0)+IF($AD47&lt;&gt;"",($AD$7*$Q$105)+IF($AD$7=4,($Q$103)+IF($AD47=$AC$7+$AD$7,$Q$104,0),0),0))</f>
        <v>0</v>
      </c>
      <c r="AD48" s="122"/>
      <c r="AE48" s="122">
        <f>(IF($AE47&lt;&gt;"",($AE$7*$Q$105)+IF($AE$7=4,($Q$103)+IF($AE47=$AE$7+$AF$7,$Q$104,0),0),0)+IF($AF47&lt;&gt;"",($AF$7*$Q$105)+IF($AF$7=4,($Q$103)+IF($AF47=$AE$7+$AF$7,$Q$104,0),0),0))</f>
        <v>19</v>
      </c>
      <c r="AF48" s="82"/>
      <c r="AG48" s="117"/>
      <c r="AH48" s="122">
        <f>(IF($AH47&lt;&gt;"",($AH$7*$Q$105)+IF($AH$7=4,($R$103)+IF($AH47=$AH$7+$AI$7,$R$104,0),0),0)+IF($AI47&lt;&gt;"",($AI$7*$R$105)+IF($AI$7=4,($R$103)+IF($AI47=$AH$7+$AI$7,$R$104,0),0),0))</f>
        <v>24</v>
      </c>
      <c r="AI48" s="128"/>
      <c r="AJ48" s="117"/>
      <c r="AK48" s="107">
        <f>MAX($AL$11:$AL$98) - AL48</f>
        <v>137</v>
      </c>
      <c r="AL48" s="117"/>
    </row>
    <row r="49" spans="1:38" s="27" customFormat="1" hidden="1" x14ac:dyDescent="0.2">
      <c r="A49" s="96"/>
      <c r="B49" s="120" t="s">
        <v>52</v>
      </c>
      <c r="C49" s="114">
        <f>IF(ISBLANK(C47),
0,
IF(C$7= 4, 1, 0))</f>
        <v>0</v>
      </c>
      <c r="D49" s="114">
        <f>IF(ISBLANK(D47),
0,
IF(D$7 = 4, 1, 0))</f>
        <v>0</v>
      </c>
      <c r="E49" s="114">
        <f>IF(ISBLANK(E47),
0,
IF(E$7= 4, 1, 0))</f>
        <v>1</v>
      </c>
      <c r="F49" s="114">
        <f>IF(ISBLANK(F47),
0,
IF(F$7 = 4, 1, 0))</f>
        <v>0</v>
      </c>
      <c r="G49" s="114">
        <f>IF(ISBLANK(G47),
0,
IF(G$7= 4, 1, 0))</f>
        <v>0</v>
      </c>
      <c r="H49" s="114">
        <f>IF(ISBLANK(H47),
0,
IF(H$7 = 4, 1, 0))</f>
        <v>0</v>
      </c>
      <c r="I49" s="114">
        <f>IF(ISBLANK(I47),
0,
IF(I$7= 4, 1, 0))</f>
        <v>0</v>
      </c>
      <c r="J49" s="114">
        <f>IF(ISBLANK(J47),
0,
IF(J$7 = 4, 1, 0))</f>
        <v>0</v>
      </c>
      <c r="K49" s="114">
        <f>IF(ISBLANK(K47),
0,
IF(K$7= 4, 1, 0))</f>
        <v>0</v>
      </c>
      <c r="L49" s="114">
        <f>IF(ISBLANK(L47),
0,
IF(L$7 = 4, 1, 0))</f>
        <v>0</v>
      </c>
      <c r="M49" s="114">
        <f>IF(ISBLANK(M47),
0,
IF(M$7= 4, 1, 0))</f>
        <v>0</v>
      </c>
      <c r="N49" s="114">
        <f>IF(ISBLANK(N47),
0,
IF(N$7 = 4, 1, 0))</f>
        <v>1</v>
      </c>
      <c r="O49" s="114">
        <f>IF(ISBLANK(O47),
0,
IF(O$7= 4, 1, 0))</f>
        <v>0</v>
      </c>
      <c r="P49" s="114">
        <f>IF(ISBLANK(P47),
0,
IF(P$7 = 4, 1, 0))</f>
        <v>0</v>
      </c>
      <c r="Q49" s="114">
        <f>IF(ISBLANK(Q47),
0,
IF(Q$7= 4, 1, 0))</f>
        <v>1</v>
      </c>
      <c r="R49" s="114">
        <f>IF(ISBLANK(R47),
0,
IF(R$7 = 4, 1, 0))</f>
        <v>0</v>
      </c>
      <c r="S49" s="130"/>
      <c r="T49" s="114">
        <f>IF(ISBLANK(T47),
0,
IF(T$7= 4, 1, 0))</f>
        <v>0</v>
      </c>
      <c r="U49" s="114">
        <f>IF(ISBLANK(U47),
0,
IF(U$7 = 4, 1, 0))</f>
        <v>0</v>
      </c>
      <c r="V49" s="114">
        <f>IF(ISBLANK(V47),
0,
IF(V$7= 4, 1, 0))</f>
        <v>0</v>
      </c>
      <c r="W49" s="114">
        <f>IF(ISBLANK(W47),
0,
IF(W$7 = 4, 1, 0))</f>
        <v>0</v>
      </c>
      <c r="X49" s="114">
        <f>IF(ISBLANK(X47),
0,
IF(X$7= 4, 1, 0))</f>
        <v>0</v>
      </c>
      <c r="Y49" s="114">
        <f>IF(ISBLANK(Y47),
0,
IF(Y$7 = 4, 1, 0))</f>
        <v>0</v>
      </c>
      <c r="Z49" s="114">
        <f>IF(ISBLANK(Z47),
0,
IF(Z$7= 4, 1, 0))</f>
        <v>1</v>
      </c>
      <c r="AA49" s="114">
        <f>IF(ISBLANK(AA47),
0,
IF(AA$7 = 4, 1, 0))</f>
        <v>0</v>
      </c>
      <c r="AB49" s="130"/>
      <c r="AC49" s="114">
        <f>IF(ISBLANK(AC47),
0,
IF(AC$7= 4, 1, 0))</f>
        <v>0</v>
      </c>
      <c r="AD49" s="114">
        <f>IF(ISBLANK(AD47),
0,
IF(AD$7 = 4, 1, 0))</f>
        <v>0</v>
      </c>
      <c r="AE49" s="114">
        <f>IF(ISBLANK(AE47),
0,
IF(AE$7= 4, 1, 0))</f>
        <v>0</v>
      </c>
      <c r="AF49" s="114">
        <f>IF(ISBLANK(AF47),
0,
IF(AF$7 = 4, 1, 0))</f>
        <v>1</v>
      </c>
      <c r="AG49" s="130"/>
      <c r="AH49" s="114">
        <f>IF(ISBLANK(AH47),
0,
IF(AH$7= 4, 1, 0))</f>
        <v>0</v>
      </c>
      <c r="AI49" s="114">
        <f>IF(ISBLANK(AI47),
0,
IF(AI$7 = 4, 1, 0))</f>
        <v>1</v>
      </c>
      <c r="AJ49" s="130"/>
      <c r="AK49" s="131">
        <f>SUM(C49:AI49)</f>
        <v>6</v>
      </c>
      <c r="AL49" s="119"/>
    </row>
    <row r="50" spans="1:38" s="27" customFormat="1" hidden="1" x14ac:dyDescent="0.2">
      <c r="A50" s="96"/>
      <c r="B50" s="120" t="s">
        <v>53</v>
      </c>
      <c r="C50" s="114">
        <f>IF(C49 = 0,
0,
IF(C47 = (C$7+D$7),1,0))</f>
        <v>0</v>
      </c>
      <c r="D50" s="114">
        <f>IF(D49 = 0,
0,
IF(D47 = (C$7+D$7),1,0))</f>
        <v>0</v>
      </c>
      <c r="E50" s="114">
        <f>IF(E49 = 0,
0,
IF(E47 = (E$7+F$7),1,0))</f>
        <v>0</v>
      </c>
      <c r="F50" s="114">
        <f>IF(F49 = 0,
0,
IF(F47 = (E$7+F$7),1,0))</f>
        <v>0</v>
      </c>
      <c r="G50" s="114">
        <f>IF(G49 = 0,
0,
IF(G47 = (G$7+H$7),1,0))</f>
        <v>0</v>
      </c>
      <c r="H50" s="114">
        <f>IF(H49 = 0,
0,
IF(H47 = (G$7+H$7),1,0))</f>
        <v>0</v>
      </c>
      <c r="I50" s="114">
        <f>IF(I49 = 0,
0,
IF(I47 = (I$7+J$7),1,0))</f>
        <v>0</v>
      </c>
      <c r="J50" s="114">
        <f>IF(J49 = 0,
0,
IF(J47 = (I$7+J$7),1,0))</f>
        <v>0</v>
      </c>
      <c r="K50" s="114">
        <f>IF(K49 = 0,
0,
IF(K47 = (K$7+L$7),1,0))</f>
        <v>0</v>
      </c>
      <c r="L50" s="114">
        <f>IF(L49 = 0,
0,
IF(L47 = (K$7+L$7),1,0))</f>
        <v>0</v>
      </c>
      <c r="M50" s="114">
        <f>IF(M49 = 0,
0,
IF(M47 = (M$7+N$7),1,0))</f>
        <v>0</v>
      </c>
      <c r="N50" s="114">
        <f>IF(N49 = 0,
0,
IF(N47 = (M$7+N$7),1,0))</f>
        <v>0</v>
      </c>
      <c r="O50" s="114">
        <f>IF(O49 = 0,
0,
IF(O47 = (O$7+P$7),1,0))</f>
        <v>0</v>
      </c>
      <c r="P50" s="114">
        <f>IF(P49 = 0,
0,
IF(P47 = (O$7+P$7),1,0))</f>
        <v>0</v>
      </c>
      <c r="Q50" s="114">
        <f>IF(Q49 = 0,
0,
IF(Q47 = (Q$7+R$7),1,0))</f>
        <v>1</v>
      </c>
      <c r="R50" s="114">
        <f>IF(R49 = 0,
0,
IF(R47 = (Q$7+R$7),1,0))</f>
        <v>0</v>
      </c>
      <c r="S50" s="130"/>
      <c r="T50" s="114">
        <f>IF(T49 = 0,
0,
IF(T47 = (T$7+U$7),1,0))</f>
        <v>0</v>
      </c>
      <c r="U50" s="114">
        <f>IF(U49 = 0,
0,
IF(U47 = (T$7+U$7),1,0))</f>
        <v>0</v>
      </c>
      <c r="V50" s="114">
        <f>IF(V49 = 0,
0,
IF(V47 = (V$7+W$7),1,0))</f>
        <v>0</v>
      </c>
      <c r="W50" s="114">
        <f>IF(W49 = 0,
0,
IF(W47 = (V$7+W$7),1,0))</f>
        <v>0</v>
      </c>
      <c r="X50" s="114">
        <f>IF(X49 = 0,
0,
IF(X47 = (X$7+Y$7),1,0))</f>
        <v>0</v>
      </c>
      <c r="Y50" s="114">
        <f>IF(Y49 = 0,
0,
IF(Y47 = (X$7+Y$7),1,0))</f>
        <v>0</v>
      </c>
      <c r="Z50" s="114">
        <f>IF(Z49 = 0,
0,
IF(Z47 = (Z$7+AA$7),1,0))</f>
        <v>0</v>
      </c>
      <c r="AA50" s="114">
        <f>IF(AA49 = 0,
0,
IF(AA47 = (Z$7+AA$7),1,0))</f>
        <v>0</v>
      </c>
      <c r="AB50" s="130"/>
      <c r="AC50" s="114">
        <f>IF(AC49 = 0,
0,
IF(AC47 = (AC$7+AD$7),1,0))</f>
        <v>0</v>
      </c>
      <c r="AD50" s="114">
        <f>IF(AD49 = 0,
0,
IF(AD47 = (AC$7+AD$7),1,0))</f>
        <v>0</v>
      </c>
      <c r="AE50" s="114">
        <f>IF(AE49 = 0,
0,
IF(AE47 = (AE$7+AF$7),1,0))</f>
        <v>0</v>
      </c>
      <c r="AF50" s="114">
        <f>IF(AF49 = 0,
0,
IF(AF47 = (AE$7+AF$7),1,0))</f>
        <v>0</v>
      </c>
      <c r="AG50" s="130"/>
      <c r="AH50" s="114">
        <f>IF(AH49 = 0,
0,
IF(AH47 = (AH$7+AI$7),1,0))</f>
        <v>0</v>
      </c>
      <c r="AI50" s="114">
        <f>IF(AI49 = 0,
0,
IF(AI47 = (AH$7+AI$7),1,0))</f>
        <v>0</v>
      </c>
      <c r="AJ50" s="130"/>
      <c r="AK50" s="131">
        <f>SUM(C50:AI50)</f>
        <v>1</v>
      </c>
      <c r="AL50" s="119"/>
    </row>
    <row r="51" spans="1:38" s="27" customFormat="1" ht="12.75" customHeight="1" x14ac:dyDescent="0.2">
      <c r="A51" s="201">
        <f>RANK(AL51,$AL$11:$AL$98,)</f>
        <v>11</v>
      </c>
      <c r="B51" s="202" t="s">
        <v>77</v>
      </c>
      <c r="C51" s="214">
        <v>6</v>
      </c>
      <c r="D51" s="215"/>
      <c r="E51" s="219"/>
      <c r="F51" s="215">
        <v>7</v>
      </c>
      <c r="G51" s="217">
        <v>6</v>
      </c>
      <c r="H51" s="218"/>
      <c r="I51" s="219"/>
      <c r="J51" s="218">
        <v>6</v>
      </c>
      <c r="K51" s="220"/>
      <c r="L51" s="218">
        <v>6</v>
      </c>
      <c r="M51" s="219"/>
      <c r="N51" s="221">
        <v>6</v>
      </c>
      <c r="O51" s="219">
        <v>5</v>
      </c>
      <c r="P51" s="215"/>
      <c r="Q51" s="217"/>
      <c r="R51" s="222">
        <v>6</v>
      </c>
      <c r="S51" s="224">
        <f>SUM(C52:R52)</f>
        <v>31</v>
      </c>
      <c r="T51" s="214"/>
      <c r="U51" s="218">
        <v>5</v>
      </c>
      <c r="V51" s="219">
        <v>6</v>
      </c>
      <c r="W51" s="218"/>
      <c r="X51" s="220">
        <v>6</v>
      </c>
      <c r="Y51" s="215"/>
      <c r="Z51" s="217"/>
      <c r="AA51" s="218">
        <v>6</v>
      </c>
      <c r="AB51" s="224">
        <f>SUM(T52:AA52)</f>
        <v>19</v>
      </c>
      <c r="AC51" s="217">
        <v>6</v>
      </c>
      <c r="AD51" s="218"/>
      <c r="AE51" s="220">
        <v>5</v>
      </c>
      <c r="AF51" s="218"/>
      <c r="AG51" s="224">
        <f>SUM(AC52:AF52)</f>
        <v>21</v>
      </c>
      <c r="AH51" s="227"/>
      <c r="AI51" s="212">
        <v>4</v>
      </c>
      <c r="AJ51" s="224">
        <f>AH52</f>
        <v>24</v>
      </c>
      <c r="AK51" s="226">
        <f>MAX($AL$11:$AL$98) - AL51</f>
        <v>42</v>
      </c>
      <c r="AL51" s="224">
        <f>$S51+$AB51+$AG51+$AJ51</f>
        <v>95</v>
      </c>
    </row>
    <row r="52" spans="1:38" s="27" customFormat="1" hidden="1" x14ac:dyDescent="0.2">
      <c r="A52" s="113" t="e">
        <f>RANK(AL52,$AL$11:$AL$98,)</f>
        <v>#N/A</v>
      </c>
      <c r="B52" s="95"/>
      <c r="C52" s="122">
        <f>(IF($C51&lt;&gt;"",($C$7*$O$105)+IF($C$7=4,($O$103)+IF($C51=$C$7+$D$7,$O$104,0),0),0)+IF($D51&lt;&gt;"",($D$7*$O$105)+IF($D$7=4,($O$103)+IF($D51=$C$7+$D$7,$O$104,0),0),0))</f>
        <v>0</v>
      </c>
      <c r="D52" s="123"/>
      <c r="E52" s="121">
        <f>(IF($E51&lt;&gt;"",($E$7*$O$105)+IF($E$7=4,($O$103)+IF($E51=$E$7+$F$7,$O$104,0),0),0)+IF($F51&lt;&gt;"",($F$7*$O$105)+IF($F$7=4,($O$103)+IF($F51=$E$7+$F$7,$O$104,0),0),0))</f>
        <v>3</v>
      </c>
      <c r="F52" s="123"/>
      <c r="G52" s="121">
        <f>(IF($G51&lt;&gt;"",($G$7*$O$105)+IF($G$7=4,($O$103)+IF($G51=$G$7+$H$7,$O$104,0),0),0)+IF($H51&lt;&gt;"",($H$7*$O$105)+IF($H$7=4,($O$103)+IF($H51=$G$7+$H$7,$O$104,0),0),0))</f>
        <v>3</v>
      </c>
      <c r="H52" s="123"/>
      <c r="I52" s="124">
        <f>(IF($I51&lt;&gt;"",($I$7*$O$105)+IF($I$7=4,($O$103)+IF($I51=$I$7+$J$7,$O$104,0),0),0)+IF($J51&lt;&gt;"",($J$7*$O$105)+IF($J$7=4,($O$103)+IF($J51=$I$7+$J$7,$O$104,0),0),0))</f>
        <v>0</v>
      </c>
      <c r="J52" s="125"/>
      <c r="K52" s="126">
        <f>(IF($K51&lt;&gt;"",($K$7*$O$105)+IF($K$7=4,($O$103)+IF($K51=$K$7+$L$7,$O$104,0),0),0)+IF($L51&lt;&gt;"",($L$7*$O$105)+IF($L$7=4,($O$103)+IF($L51=$K$7+$L$7,$O$104,0),0),0))</f>
        <v>9</v>
      </c>
      <c r="L52" s="123"/>
      <c r="M52" s="121">
        <f>(IF($M51&lt;&gt;"",($M$7*$O$105)+IF($M$7=4,($O$103)+IF($M51=$M$7+$N$7,$O$104,0),0),0)+IF($N51&lt;&gt;"",($N$7*$O$105)+IF($N$7=4,($O$103)+IF($N51=$M$7+$N$7,$O$104,0),0),0))</f>
        <v>11</v>
      </c>
      <c r="N52" s="123"/>
      <c r="O52" s="124">
        <f>(IF($O51&lt;&gt;"",($O$7*$O$105)+IF($O$7=4,($O$103)+IF($O51=$O$7+$P$7,$O$104,0),0),0)+IF($P51&lt;&gt;"",($P$7*$O$105)+IF($P$7=4,($O$103)+IF($P51=$O$7+$P$7,$O$104,0),0),0))</f>
        <v>2</v>
      </c>
      <c r="P52" s="123"/>
      <c r="Q52" s="124">
        <f>(IF($Q51&lt;&gt;"",($Q$7*$O$105)+IF($Q$7=4,($O$103)+IF($Q51=$Q$7+$R$7,$O$104,0),0),0)+IF($R51&lt;&gt;"",($R$7*$O$105)+IF($R$7=4,($O$103)+IF($R51=$Q$7+$R$7,$O$104,0),0),0))</f>
        <v>3</v>
      </c>
      <c r="R52" s="127"/>
      <c r="S52" s="117"/>
      <c r="T52" s="122">
        <f>(IF($T51&lt;&gt;"",($T$7*$P$105)+IF($T$7=4,($P$103)+IF($T51=$T$7+$U$7,$P$104,0),0),0)+IF($U51&lt;&gt;"",($U$7*$P$105)+IF($U$7=4,($P$103)+IF($U51=$T$7+$U$7,$P$104,0),0),0))</f>
        <v>2</v>
      </c>
      <c r="U52" s="122"/>
      <c r="V52" s="122">
        <f>(IF($V51&lt;&gt;"",($V$7*$P$105)+IF($V$7=4,($P$103)+IF($V51=$V$7+$W$7,$P$104,0),0),0)+IF($W51&lt;&gt;"",($W$7*$P$105)+IF($W$7=4,($P$103)+IF($W51=$V$7+$W$7,$P$104,0),0),0))</f>
        <v>0</v>
      </c>
      <c r="W52" s="122"/>
      <c r="X52" s="122">
        <f>(IF($X51&lt;&gt;"",($X$7*$P$105)+IF($X$7=4,($P$103)+IF($X51=$X$7+$Y$7,$P$104,0),0),0)+IF($Y51&lt;&gt;"",($Y$7*$P$105)+IF($Y$7=4,($P$103)+IF($Y51=$X$7+$Y$7,$P$104,0),0),0))</f>
        <v>14</v>
      </c>
      <c r="Y52" s="59"/>
      <c r="Z52" s="122">
        <f>(IF($Z51&lt;&gt;"",($Z$7*$P$105)+IF($Z$7=4,($P$103)+IF($Z51=$Z$7+$AA$7,$P$104,0),0),0)+IF($AA51&lt;&gt;"",($AA$7*$P$105)+IF($AA$7=4,($P$103)+IF($AA51=$Z$7+$AA$7,$P$104,0),0),0))</f>
        <v>3</v>
      </c>
      <c r="AA52" s="60"/>
      <c r="AB52" s="117"/>
      <c r="AC52" s="122">
        <f>(IF($AC51&lt;&gt;"",($AC$7*$Q$105)+IF($AC$7=4,($Q$103)+IF($AC51=$AC$7+$AD$7,$Q$104,0),0),0)+IF($AD51&lt;&gt;"",($AD$7*$Q$105)+IF($AD$7=4,($Q$103)+IF($AD51=$AC$7+$AD$7,$Q$104,0),0),0))</f>
        <v>19</v>
      </c>
      <c r="AD52" s="122"/>
      <c r="AE52" s="122">
        <f>(IF($AE51&lt;&gt;"",($AE$7*$Q$105)+IF($AE$7=4,($Q$103)+IF($AE51=$AE$7+$AF$7,$Q$104,0),0),0)+IF($AF51&lt;&gt;"",($AF$7*$Q$105)+IF($AF$7=4,($Q$103)+IF($AF51=$AE$7+$AF$7,$Q$104,0),0),0))</f>
        <v>2</v>
      </c>
      <c r="AF52" s="82"/>
      <c r="AG52" s="117"/>
      <c r="AH52" s="122">
        <f>(IF($AH51&lt;&gt;"",($AH$7*$Q$105)+IF($AH$7=4,($R$103)+IF($AH51=$AH$7+$AI$7,$R$104,0),0),0)+IF($AI51&lt;&gt;"",($AI$7*$R$105)+IF($AI$7=4,($R$103)+IF($AI51=$AH$7+$AI$7,$R$104,0),0),0))</f>
        <v>24</v>
      </c>
      <c r="AI52" s="128"/>
      <c r="AJ52" s="117"/>
      <c r="AK52" s="106"/>
      <c r="AL52" s="117"/>
    </row>
    <row r="53" spans="1:38" s="27" customFormat="1" hidden="1" x14ac:dyDescent="0.2">
      <c r="A53" s="96"/>
      <c r="B53" s="120" t="s">
        <v>52</v>
      </c>
      <c r="C53" s="114">
        <f>IF(ISBLANK(C51),
0,
IF(C$7= 4, 1, 0))</f>
        <v>0</v>
      </c>
      <c r="D53" s="114">
        <f>IF(ISBLANK(D51),
0,
IF(D$7 = 4, 1, 0))</f>
        <v>0</v>
      </c>
      <c r="E53" s="114">
        <f>IF(ISBLANK(E51),
0,
IF(E$7= 4, 1, 0))</f>
        <v>0</v>
      </c>
      <c r="F53" s="114">
        <f>IF(ISBLANK(F51),
0,
IF(F$7 = 4, 1, 0))</f>
        <v>0</v>
      </c>
      <c r="G53" s="114">
        <f>IF(ISBLANK(G51),
0,
IF(G$7= 4, 1, 0))</f>
        <v>0</v>
      </c>
      <c r="H53" s="114">
        <f>IF(ISBLANK(H51),
0,
IF(H$7 = 4, 1, 0))</f>
        <v>0</v>
      </c>
      <c r="I53" s="114">
        <f>IF(ISBLANK(I51),
0,
IF(I$7= 4, 1, 0))</f>
        <v>0</v>
      </c>
      <c r="J53" s="114">
        <f>IF(ISBLANK(J51),
0,
IF(J$7 = 4, 1, 0))</f>
        <v>0</v>
      </c>
      <c r="K53" s="114">
        <f>IF(ISBLANK(K51),
0,
IF(K$7= 4, 1, 0))</f>
        <v>0</v>
      </c>
      <c r="L53" s="114">
        <f>IF(ISBLANK(L51),
0,
IF(L$7 = 4, 1, 0))</f>
        <v>1</v>
      </c>
      <c r="M53" s="114">
        <f>IF(ISBLANK(M51),
0,
IF(M$7= 4, 1, 0))</f>
        <v>0</v>
      </c>
      <c r="N53" s="114">
        <f>IF(ISBLANK(N51),
0,
IF(N$7 = 4, 1, 0))</f>
        <v>1</v>
      </c>
      <c r="O53" s="114">
        <f>IF(ISBLANK(O51),
0,
IF(O$7= 4, 1, 0))</f>
        <v>0</v>
      </c>
      <c r="P53" s="114">
        <f>IF(ISBLANK(P51),
0,
IF(P$7 = 4, 1, 0))</f>
        <v>0</v>
      </c>
      <c r="Q53" s="114">
        <f>IF(ISBLANK(Q51),
0,
IF(Q$7= 4, 1, 0))</f>
        <v>0</v>
      </c>
      <c r="R53" s="114">
        <f>IF(ISBLANK(R51),
0,
IF(R$7 = 4, 1, 0))</f>
        <v>0</v>
      </c>
      <c r="S53" s="130"/>
      <c r="T53" s="114">
        <f>IF(ISBLANK(T51),
0,
IF(T$7= 4, 1, 0))</f>
        <v>0</v>
      </c>
      <c r="U53" s="114">
        <f>IF(ISBLANK(U51),
0,
IF(U$7 = 4, 1, 0))</f>
        <v>0</v>
      </c>
      <c r="V53" s="114">
        <f>IF(ISBLANK(V51),
0,
IF(V$7= 4, 1, 0))</f>
        <v>0</v>
      </c>
      <c r="W53" s="114">
        <f>IF(ISBLANK(W51),
0,
IF(W$7 = 4, 1, 0))</f>
        <v>0</v>
      </c>
      <c r="X53" s="114">
        <f>IF(ISBLANK(X51),
0,
IF(X$7= 4, 1, 0))</f>
        <v>1</v>
      </c>
      <c r="Y53" s="114">
        <f>IF(ISBLANK(Y51),
0,
IF(Y$7 = 4, 1, 0))</f>
        <v>0</v>
      </c>
      <c r="Z53" s="114">
        <f>IF(ISBLANK(Z51),
0,
IF(Z$7= 4, 1, 0))</f>
        <v>0</v>
      </c>
      <c r="AA53" s="114">
        <f>IF(ISBLANK(AA51),
0,
IF(AA$7 = 4, 1, 0))</f>
        <v>0</v>
      </c>
      <c r="AB53" s="130"/>
      <c r="AC53" s="114">
        <f>IF(ISBLANK(AC51),
0,
IF(AC$7= 4, 1, 0))</f>
        <v>1</v>
      </c>
      <c r="AD53" s="114">
        <f>IF(ISBLANK(AD51),
0,
IF(AD$7 = 4, 1, 0))</f>
        <v>0</v>
      </c>
      <c r="AE53" s="114">
        <f>IF(ISBLANK(AE51),
0,
IF(AE$7= 4, 1, 0))</f>
        <v>0</v>
      </c>
      <c r="AF53" s="114">
        <f>IF(ISBLANK(AF51),
0,
IF(AF$7 = 4, 1, 0))</f>
        <v>0</v>
      </c>
      <c r="AG53" s="130"/>
      <c r="AH53" s="114">
        <f>IF(ISBLANK(AH51),
0,
IF(AH$7= 4, 1, 0))</f>
        <v>0</v>
      </c>
      <c r="AI53" s="114">
        <f>IF(ISBLANK(AI51),
0,
IF(AI$7 = 4, 1, 0))</f>
        <v>1</v>
      </c>
      <c r="AJ53" s="130"/>
      <c r="AK53" s="131">
        <f>SUM(C53:AI53)</f>
        <v>5</v>
      </c>
      <c r="AL53" s="119"/>
    </row>
    <row r="54" spans="1:38" s="27" customFormat="1" hidden="1" x14ac:dyDescent="0.2">
      <c r="A54" s="96"/>
      <c r="B54" s="120" t="s">
        <v>53</v>
      </c>
      <c r="C54" s="114">
        <f>IF(C53 = 0,
0,
IF(C51 = (C$7+D$7),1,0))</f>
        <v>0</v>
      </c>
      <c r="D54" s="114">
        <f>IF(D53 = 0,
0,
IF(D51 = (C$7+D$7),1,0))</f>
        <v>0</v>
      </c>
      <c r="E54" s="114">
        <f>IF(E53 = 0,
0,
IF(E51 = (E$7+F$7),1,0))</f>
        <v>0</v>
      </c>
      <c r="F54" s="114">
        <f>IF(F53 = 0,
0,
IF(F51 = (E$7+F$7),1,0))</f>
        <v>0</v>
      </c>
      <c r="G54" s="114">
        <f>IF(G53 = 0,
0,
IF(G51 = (G$7+H$7),1,0))</f>
        <v>0</v>
      </c>
      <c r="H54" s="114">
        <f>IF(H53 = 0,
0,
IF(H51 = (G$7+H$7),1,0))</f>
        <v>0</v>
      </c>
      <c r="I54" s="114">
        <f>IF(I53 = 0,
0,
IF(I51 = (I$7+J$7),1,0))</f>
        <v>0</v>
      </c>
      <c r="J54" s="114">
        <f>IF(J53 = 0,
0,
IF(J51 = (I$7+J$7),1,0))</f>
        <v>0</v>
      </c>
      <c r="K54" s="114">
        <f>IF(K53 = 0,
0,
IF(K51 = (K$7+L$7),1,0))</f>
        <v>0</v>
      </c>
      <c r="L54" s="114">
        <f>IF(L53 = 0,
0,
IF(L51 = (K$7+L$7),1,0))</f>
        <v>0</v>
      </c>
      <c r="M54" s="114">
        <f>IF(M53 = 0,
0,
IF(M51 = (M$7+N$7),1,0))</f>
        <v>0</v>
      </c>
      <c r="N54" s="114">
        <f>IF(N53 = 0,
0,
IF(N51 = (M$7+N$7),1,0))</f>
        <v>1</v>
      </c>
      <c r="O54" s="114">
        <f>IF(O53 = 0,
0,
IF(O51 = (O$7+P$7),1,0))</f>
        <v>0</v>
      </c>
      <c r="P54" s="114">
        <f>IF(P53 = 0,
0,
IF(P51 = (O$7+P$7),1,0))</f>
        <v>0</v>
      </c>
      <c r="Q54" s="114">
        <f>IF(Q53 = 0,
0,
IF(Q51 = (Q$7+R$7),1,0))</f>
        <v>0</v>
      </c>
      <c r="R54" s="114">
        <f>IF(R53 = 0,
0,
IF(R51 = (Q$7+R$7),1,0))</f>
        <v>0</v>
      </c>
      <c r="S54" s="130"/>
      <c r="T54" s="114">
        <f>IF(T53 = 0,
0,
IF(T51 = (T$7+U$7),1,0))</f>
        <v>0</v>
      </c>
      <c r="U54" s="114">
        <f>IF(U53 = 0,
0,
IF(U51 = (T$7+U$7),1,0))</f>
        <v>0</v>
      </c>
      <c r="V54" s="114">
        <f>IF(V53 = 0,
0,
IF(V51 = (V$7+W$7),1,0))</f>
        <v>0</v>
      </c>
      <c r="W54" s="114">
        <f>IF(W53 = 0,
0,
IF(W51 = (V$7+W$7),1,0))</f>
        <v>0</v>
      </c>
      <c r="X54" s="114">
        <f>IF(X53 = 0,
0,
IF(X51 = (X$7+Y$7),1,0))</f>
        <v>0</v>
      </c>
      <c r="Y54" s="114">
        <f>IF(Y53 = 0,
0,
IF(Y51 = (X$7+Y$7),1,0))</f>
        <v>0</v>
      </c>
      <c r="Z54" s="114">
        <f>IF(Z53 = 0,
0,
IF(Z51 = (Z$7+AA$7),1,0))</f>
        <v>0</v>
      </c>
      <c r="AA54" s="114">
        <f>IF(AA53 = 0,
0,
IF(AA51 = (Z$7+AA$7),1,0))</f>
        <v>0</v>
      </c>
      <c r="AB54" s="130"/>
      <c r="AC54" s="114">
        <f>IF(AC53 = 0,
0,
IF(AC51 = (AC$7+AD$7),1,0))</f>
        <v>0</v>
      </c>
      <c r="AD54" s="114">
        <f>IF(AD53 = 0,
0,
IF(AD51 = (AC$7+AD$7),1,0))</f>
        <v>0</v>
      </c>
      <c r="AE54" s="114">
        <f>IF(AE53 = 0,
0,
IF(AE51 = (AE$7+AF$7),1,0))</f>
        <v>0</v>
      </c>
      <c r="AF54" s="114">
        <f>IF(AF53 = 0,
0,
IF(AF51 = (AE$7+AF$7),1,0))</f>
        <v>0</v>
      </c>
      <c r="AG54" s="130"/>
      <c r="AH54" s="114">
        <f>IF(AH53 = 0,
0,
IF(AH51 = (AH$7+AI$7),1,0))</f>
        <v>0</v>
      </c>
      <c r="AI54" s="114">
        <f>IF(AI53 = 0,
0,
IF(AI51 = (AH$7+AI$7),1,0))</f>
        <v>0</v>
      </c>
      <c r="AJ54" s="130"/>
      <c r="AK54" s="131">
        <f>SUM(C54:AI54)</f>
        <v>1</v>
      </c>
      <c r="AL54" s="119"/>
    </row>
    <row r="55" spans="1:38" s="27" customFormat="1" ht="12.6" customHeight="1" x14ac:dyDescent="0.2">
      <c r="A55" s="113">
        <f>RANK(AL55,$AL$11:$AL$98,)</f>
        <v>12</v>
      </c>
      <c r="B55" s="81" t="s">
        <v>73</v>
      </c>
      <c r="C55" s="46">
        <v>5</v>
      </c>
      <c r="D55" s="45"/>
      <c r="E55" s="44">
        <v>6</v>
      </c>
      <c r="F55" s="45"/>
      <c r="G55" s="48">
        <v>6</v>
      </c>
      <c r="H55" s="47"/>
      <c r="I55" s="44"/>
      <c r="J55" s="47">
        <v>6</v>
      </c>
      <c r="K55" s="49">
        <v>6</v>
      </c>
      <c r="L55" s="47"/>
      <c r="M55" s="44">
        <v>7</v>
      </c>
      <c r="N55" s="45"/>
      <c r="O55" s="44">
        <v>6</v>
      </c>
      <c r="P55" s="45"/>
      <c r="Q55" s="48"/>
      <c r="R55" s="50">
        <v>7</v>
      </c>
      <c r="S55" s="118">
        <f>SUM(C56:R56)</f>
        <v>20</v>
      </c>
      <c r="T55" s="46">
        <v>7</v>
      </c>
      <c r="U55" s="47"/>
      <c r="V55" s="44">
        <v>7</v>
      </c>
      <c r="W55" s="47"/>
      <c r="X55" s="240">
        <v>7</v>
      </c>
      <c r="Y55" s="45"/>
      <c r="Z55" s="200">
        <v>7</v>
      </c>
      <c r="AA55" s="47"/>
      <c r="AB55" s="118">
        <f>SUM(T56:AA56)</f>
        <v>50</v>
      </c>
      <c r="AC55" s="48">
        <v>5</v>
      </c>
      <c r="AD55" s="47"/>
      <c r="AE55" s="49">
        <v>7</v>
      </c>
      <c r="AF55" s="47"/>
      <c r="AG55" s="118">
        <f>SUM(AC56:AF56)</f>
        <v>21</v>
      </c>
      <c r="AH55" s="99">
        <v>5</v>
      </c>
      <c r="AI55" s="57"/>
      <c r="AJ55" s="118">
        <f>AH56</f>
        <v>3</v>
      </c>
      <c r="AK55" s="107">
        <f>MAX($AL$11:$AL$98) - AL55</f>
        <v>43</v>
      </c>
      <c r="AL55" s="118">
        <f>$S55+$AB55+$AG55+$AJ55</f>
        <v>94</v>
      </c>
    </row>
    <row r="56" spans="1:38" s="27" customFormat="1" hidden="1" x14ac:dyDescent="0.2">
      <c r="A56" s="113" t="e">
        <f>RANK(AL56,$AL$11:$AL$98,)</f>
        <v>#N/A</v>
      </c>
      <c r="B56" s="95"/>
      <c r="C56" s="122">
        <f>(IF($C55&lt;&gt;"",($C$7*$O$105)+IF($C$7=4,($O$103)+IF($C55=$C$7+$D$7,$O$104,0),0),0)+IF($D55&lt;&gt;"",($D$7*$O$105)+IF($D$7=4,($O$103)+IF($D55=$C$7+$D$7,$O$104,0),0),0))</f>
        <v>0</v>
      </c>
      <c r="D56" s="123"/>
      <c r="E56" s="121">
        <f>(IF($E55&lt;&gt;"",($E$7*$O$105)+IF($E$7=4,($O$103)+IF($E55=$E$7+$F$7,$O$104,0),0),0)+IF($F55&lt;&gt;"",($F$7*$O$105)+IF($F$7=4,($O$103)+IF($F55=$E$7+$F$7,$O$104,0),0),0))</f>
        <v>9</v>
      </c>
      <c r="F56" s="123"/>
      <c r="G56" s="121">
        <f>(IF($G55&lt;&gt;"",($G$7*$O$105)+IF($G$7=4,($O$103)+IF($G55=$G$7+$H$7,$O$104,0),0),0)+IF($H55&lt;&gt;"",($H$7*$O$105)+IF($H$7=4,($O$103)+IF($H55=$G$7+$H$7,$O$104,0),0),0))</f>
        <v>3</v>
      </c>
      <c r="H56" s="123"/>
      <c r="I56" s="124">
        <f>(IF($I55&lt;&gt;"",($I$7*$O$105)+IF($I$7=4,($O$103)+IF($I55=$I$7+$J$7,$O$104,0),0),0)+IF($J55&lt;&gt;"",($J$7*$O$105)+IF($J$7=4,($O$103)+IF($J55=$I$7+$J$7,$O$104,0),0),0))</f>
        <v>0</v>
      </c>
      <c r="J56" s="125"/>
      <c r="K56" s="126">
        <f>(IF($K55&lt;&gt;"",($K$7*$O$105)+IF($K$7=4,($O$103)+IF($K55=$K$7+$L$7,$O$104,0),0),0)+IF($L55&lt;&gt;"",($L$7*$O$105)+IF($L$7=4,($O$103)+IF($L55=$K$7+$L$7,$O$104,0),0),0))</f>
        <v>1</v>
      </c>
      <c r="L56" s="123"/>
      <c r="M56" s="121">
        <f>(IF($M55&lt;&gt;"",($M$7*$O$105)+IF($M$7=4,($O$103)+IF($M55=$M$7+$N$7,$O$104,0),0),0)+IF($N55&lt;&gt;"",($N$7*$O$105)+IF($N$7=4,($O$103)+IF($N55=$M$7+$N$7,$O$104,0),0),0))</f>
        <v>2</v>
      </c>
      <c r="N56" s="123"/>
      <c r="O56" s="124">
        <f>(IF($O55&lt;&gt;"",($O$7*$O$105)+IF($O$7=4,($O$103)+IF($O55=$O$7+$P$7,$O$104,0),0),0)+IF($P55&lt;&gt;"",($P$7*$O$105)+IF($P$7=4,($O$103)+IF($P55=$O$7+$P$7,$O$104,0),0),0))</f>
        <v>2</v>
      </c>
      <c r="P56" s="123"/>
      <c r="Q56" s="124">
        <f>(IF($Q55&lt;&gt;"",($Q$7*$O$105)+IF($Q$7=4,($O$103)+IF($Q55=$Q$7+$R$7,$O$104,0),0),0)+IF($R55&lt;&gt;"",($R$7*$O$105)+IF($R$7=4,($O$103)+IF($R55=$Q$7+$R$7,$O$104,0),0),0))</f>
        <v>3</v>
      </c>
      <c r="R56" s="127"/>
      <c r="S56" s="117"/>
      <c r="T56" s="122">
        <f>(IF($T55&lt;&gt;"",($T$7*$P$105)+IF($T$7=4,($P$103)+IF($T55=$T$7+$U$7,$P$104,0),0),0)+IF($U55&lt;&gt;"",($U$7*$P$105)+IF($U$7=4,($P$103)+IF($U55=$T$7+$U$7,$P$104,0),0),0))</f>
        <v>14</v>
      </c>
      <c r="U56" s="122"/>
      <c r="V56" s="122">
        <f>(IF($V55&lt;&gt;"",($V$7*$P$105)+IF($V$7=4,($P$103)+IF($V55=$V$7+$W$7,$P$104,0),0),0)+IF($W55&lt;&gt;"",($W$7*$P$105)+IF($W$7=4,($P$103)+IF($W55=$V$7+$W$7,$P$104,0),0),0))</f>
        <v>0</v>
      </c>
      <c r="W56" s="122"/>
      <c r="X56" s="122">
        <f>(IF($X55&lt;&gt;"",($X$7*$P$105)+IF($X$7=4,($P$103)+IF($X55=$X$7+$Y$7,$P$104,0),0),0)+IF($Y55&lt;&gt;"",($Y$7*$P$105)+IF($Y$7=4,($P$103)+IF($Y55=$X$7+$Y$7,$P$104,0),0),0))</f>
        <v>18</v>
      </c>
      <c r="Y56" s="59"/>
      <c r="Z56" s="122">
        <f>(IF($Z55&lt;&gt;"",($Z$7*$P$105)+IF($Z$7=4,($P$103)+IF($Z55=$Z$7+$AA$7,$P$104,0),0),0)+IF($AA55&lt;&gt;"",($AA$7*$P$105)+IF($AA$7=4,($P$103)+IF($AA55=$Z$7+$AA$7,$P$104,0),0),0))</f>
        <v>18</v>
      </c>
      <c r="AA56" s="60"/>
      <c r="AB56" s="117"/>
      <c r="AC56" s="122">
        <f>(IF($AC55&lt;&gt;"",($AC$7*$Q$105)+IF($AC$7=4,($Q$103)+IF($AC55=$AC$7+$AD$7,$Q$104,0),0),0)+IF($AD55&lt;&gt;"",($AD$7*$Q$105)+IF($AD$7=4,($Q$103)+IF($AD55=$AC$7+$AD$7,$Q$104,0),0),0))</f>
        <v>19</v>
      </c>
      <c r="AD56" s="122"/>
      <c r="AE56" s="122">
        <f>(IF($AE55&lt;&gt;"",($AE$7*$Q$105)+IF($AE$7=4,($Q$103)+IF($AE55=$AE$7+$AF$7,$Q$104,0),0),0)+IF($AF55&lt;&gt;"",($AF$7*$Q$105)+IF($AF$7=4,($Q$103)+IF($AF55=$AE$7+$AF$7,$Q$104,0),0),0))</f>
        <v>2</v>
      </c>
      <c r="AF56" s="82"/>
      <c r="AG56" s="117"/>
      <c r="AH56" s="122">
        <f>(IF($AH55&lt;&gt;"",($AH$7*$Q$105)+IF($AH$7=4,($R$103)+IF($AH55=$AH$7+$AI$7,$R$104,0),0),0)+IF($AI55&lt;&gt;"",($AI$7*$R$105)+IF($AI$7=4,($R$103)+IF($AI55=$AH$7+$AI$7,$R$104,0),0),0))</f>
        <v>3</v>
      </c>
      <c r="AI56" s="128"/>
      <c r="AJ56" s="117"/>
      <c r="AK56" s="106"/>
      <c r="AL56" s="117"/>
    </row>
    <row r="57" spans="1:38" s="27" customFormat="1" hidden="1" x14ac:dyDescent="0.2">
      <c r="A57" s="96"/>
      <c r="B57" s="120" t="s">
        <v>52</v>
      </c>
      <c r="C57" s="114">
        <f>IF(ISBLANK(C55),
0,
IF(C$7= 4, 1, 0))</f>
        <v>0</v>
      </c>
      <c r="D57" s="114">
        <f>IF(ISBLANK(D55),
0,
IF(D$7 = 4, 1, 0))</f>
        <v>0</v>
      </c>
      <c r="E57" s="114">
        <f>IF(ISBLANK(E55),
0,
IF(E$7= 4, 1, 0))</f>
        <v>1</v>
      </c>
      <c r="F57" s="114">
        <f>IF(ISBLANK(F55),
0,
IF(F$7 = 4, 1, 0))</f>
        <v>0</v>
      </c>
      <c r="G57" s="114">
        <f>IF(ISBLANK(G55),
0,
IF(G$7= 4, 1, 0))</f>
        <v>0</v>
      </c>
      <c r="H57" s="114">
        <f>IF(ISBLANK(H55),
0,
IF(H$7 = 4, 1, 0))</f>
        <v>0</v>
      </c>
      <c r="I57" s="114">
        <f>IF(ISBLANK(I55),
0,
IF(I$7= 4, 1, 0))</f>
        <v>0</v>
      </c>
      <c r="J57" s="114">
        <f>IF(ISBLANK(J55),
0,
IF(J$7 = 4, 1, 0))</f>
        <v>0</v>
      </c>
      <c r="K57" s="114">
        <f>IF(ISBLANK(K55),
0,
IF(K$7= 4, 1, 0))</f>
        <v>0</v>
      </c>
      <c r="L57" s="114">
        <f>IF(ISBLANK(L55),
0,
IF(L$7 = 4, 1, 0))</f>
        <v>0</v>
      </c>
      <c r="M57" s="114">
        <f>IF(ISBLANK(M55),
0,
IF(M$7= 4, 1, 0))</f>
        <v>0</v>
      </c>
      <c r="N57" s="114">
        <f>IF(ISBLANK(N55),
0,
IF(N$7 = 4, 1, 0))</f>
        <v>0</v>
      </c>
      <c r="O57" s="114">
        <f>IF(ISBLANK(O55),
0,
IF(O$7= 4, 1, 0))</f>
        <v>0</v>
      </c>
      <c r="P57" s="114">
        <f>IF(ISBLANK(P55),
0,
IF(P$7 = 4, 1, 0))</f>
        <v>0</v>
      </c>
      <c r="Q57" s="114">
        <f>IF(ISBLANK(Q55),
0,
IF(Q$7= 4, 1, 0))</f>
        <v>0</v>
      </c>
      <c r="R57" s="114">
        <f>IF(ISBLANK(R55),
0,
IF(R$7 = 4, 1, 0))</f>
        <v>0</v>
      </c>
      <c r="S57" s="130"/>
      <c r="T57" s="114">
        <f>IF(ISBLANK(T55),
0,
IF(T$7= 4, 1, 0))</f>
        <v>1</v>
      </c>
      <c r="U57" s="114">
        <f>IF(ISBLANK(U55),
0,
IF(U$7 = 4, 1, 0))</f>
        <v>0</v>
      </c>
      <c r="V57" s="114">
        <f>IF(ISBLANK(V55),
0,
IF(V$7= 4, 1, 0))</f>
        <v>0</v>
      </c>
      <c r="W57" s="114">
        <f>IF(ISBLANK(W55),
0,
IF(W$7 = 4, 1, 0))</f>
        <v>0</v>
      </c>
      <c r="X57" s="114">
        <f>IF(ISBLANK(X55),
0,
IF(X$7= 4, 1, 0))</f>
        <v>1</v>
      </c>
      <c r="Y57" s="114">
        <f>IF(ISBLANK(Y55),
0,
IF(Y$7 = 4, 1, 0))</f>
        <v>0</v>
      </c>
      <c r="Z57" s="114">
        <f>IF(ISBLANK(Z55),
0,
IF(Z$7= 4, 1, 0))</f>
        <v>1</v>
      </c>
      <c r="AA57" s="114">
        <f>IF(ISBLANK(AA55),
0,
IF(AA$7 = 4, 1, 0))</f>
        <v>0</v>
      </c>
      <c r="AB57" s="130"/>
      <c r="AC57" s="114">
        <f>IF(ISBLANK(AC55),
0,
IF(AC$7= 4, 1, 0))</f>
        <v>1</v>
      </c>
      <c r="AD57" s="114">
        <f>IF(ISBLANK(AD55),
0,
IF(AD$7 = 4, 1, 0))</f>
        <v>0</v>
      </c>
      <c r="AE57" s="114">
        <f>IF(ISBLANK(AE55),
0,
IF(AE$7= 4, 1, 0))</f>
        <v>0</v>
      </c>
      <c r="AF57" s="114">
        <f>IF(ISBLANK(AF55),
0,
IF(AF$7 = 4, 1, 0))</f>
        <v>0</v>
      </c>
      <c r="AG57" s="130"/>
      <c r="AH57" s="114">
        <f>IF(ISBLANK(AH55),
0,
IF(AH$7= 4, 1, 0))</f>
        <v>0</v>
      </c>
      <c r="AI57" s="114">
        <f>IF(ISBLANK(AI55),
0,
IF(AI$7 = 4, 1, 0))</f>
        <v>0</v>
      </c>
      <c r="AJ57" s="130"/>
      <c r="AK57" s="131">
        <f>SUM(C57:AI57)</f>
        <v>5</v>
      </c>
      <c r="AL57" s="119"/>
    </row>
    <row r="58" spans="1:38" s="27" customFormat="1" hidden="1" x14ac:dyDescent="0.2">
      <c r="A58" s="96"/>
      <c r="B58" s="120" t="s">
        <v>53</v>
      </c>
      <c r="C58" s="114">
        <f>IF(C57 = 0,
0,
IF(C55 = (C$7+D$7),1,0))</f>
        <v>0</v>
      </c>
      <c r="D58" s="114">
        <f>IF(D57 = 0,
0,
IF(D55 = (C$7+D$7),1,0))</f>
        <v>0</v>
      </c>
      <c r="E58" s="114">
        <f>IF(E57 = 0,
0,
IF(E55 = (E$7+F$7),1,0))</f>
        <v>0</v>
      </c>
      <c r="F58" s="114">
        <f>IF(F57 = 0,
0,
IF(F55 = (E$7+F$7),1,0))</f>
        <v>0</v>
      </c>
      <c r="G58" s="114">
        <f>IF(G57 = 0,
0,
IF(G55 = (G$7+H$7),1,0))</f>
        <v>0</v>
      </c>
      <c r="H58" s="114">
        <f>IF(H57 = 0,
0,
IF(H55 = (G$7+H$7),1,0))</f>
        <v>0</v>
      </c>
      <c r="I58" s="114">
        <f>IF(I57 = 0,
0,
IF(I55 = (I$7+J$7),1,0))</f>
        <v>0</v>
      </c>
      <c r="J58" s="114">
        <f>IF(J57 = 0,
0,
IF(J55 = (I$7+J$7),1,0))</f>
        <v>0</v>
      </c>
      <c r="K58" s="114">
        <f>IF(K57 = 0,
0,
IF(K55 = (K$7+L$7),1,0))</f>
        <v>0</v>
      </c>
      <c r="L58" s="114">
        <f>IF(L57 = 0,
0,
IF(L55 = (K$7+L$7),1,0))</f>
        <v>0</v>
      </c>
      <c r="M58" s="114">
        <f>IF(M57 = 0,
0,
IF(M55 = (M$7+N$7),1,0))</f>
        <v>0</v>
      </c>
      <c r="N58" s="114">
        <f>IF(N57 = 0,
0,
IF(N55 = (M$7+N$7),1,0))</f>
        <v>0</v>
      </c>
      <c r="O58" s="114">
        <f>IF(O57 = 0,
0,
IF(O55 = (O$7+P$7),1,0))</f>
        <v>0</v>
      </c>
      <c r="P58" s="114">
        <f>IF(P57 = 0,
0,
IF(P55 = (O$7+P$7),1,0))</f>
        <v>0</v>
      </c>
      <c r="Q58" s="114">
        <f>IF(Q57 = 0,
0,
IF(Q55 = (Q$7+R$7),1,0))</f>
        <v>0</v>
      </c>
      <c r="R58" s="114">
        <f>IF(R57 = 0,
0,
IF(R55 = (Q$7+R$7),1,0))</f>
        <v>0</v>
      </c>
      <c r="S58" s="130"/>
      <c r="T58" s="114">
        <f>IF(T57 = 0,
0,
IF(T55 = (T$7+U$7),1,0))</f>
        <v>0</v>
      </c>
      <c r="U58" s="114">
        <f>IF(U57 = 0,
0,
IF(U55 = (T$7+U$7),1,0))</f>
        <v>0</v>
      </c>
      <c r="V58" s="114">
        <f>IF(V57 = 0,
0,
IF(V55 = (V$7+W$7),1,0))</f>
        <v>0</v>
      </c>
      <c r="W58" s="114">
        <f>IF(W57 = 0,
0,
IF(W55 = (V$7+W$7),1,0))</f>
        <v>0</v>
      </c>
      <c r="X58" s="114">
        <f>IF(X57 = 0,
0,
IF(X55 = (X$7+Y$7),1,0))</f>
        <v>1</v>
      </c>
      <c r="Y58" s="114">
        <f>IF(Y57 = 0,
0,
IF(Y55 = (X$7+Y$7),1,0))</f>
        <v>0</v>
      </c>
      <c r="Z58" s="114">
        <f>IF(Z57 = 0,
0,
IF(Z55 = (Z$7+AA$7),1,0))</f>
        <v>1</v>
      </c>
      <c r="AA58" s="114">
        <f>IF(AA57 = 0,
0,
IF(AA55 = (Z$7+AA$7),1,0))</f>
        <v>0</v>
      </c>
      <c r="AB58" s="130"/>
      <c r="AC58" s="114">
        <f>IF(AC57 = 0,
0,
IF(AC55 = (AC$7+AD$7),1,0))</f>
        <v>0</v>
      </c>
      <c r="AD58" s="114">
        <f>IF(AD57 = 0,
0,
IF(AD55 = (AC$7+AD$7),1,0))</f>
        <v>0</v>
      </c>
      <c r="AE58" s="114">
        <f>IF(AE57 = 0,
0,
IF(AE55 = (AE$7+AF$7),1,0))</f>
        <v>0</v>
      </c>
      <c r="AF58" s="114">
        <f>IF(AF57 = 0,
0,
IF(AF55 = (AE$7+AF$7),1,0))</f>
        <v>0</v>
      </c>
      <c r="AG58" s="130"/>
      <c r="AH58" s="114">
        <f>IF(AH57 = 0,
0,
IF(AH55 = (AH$7+AI$7),1,0))</f>
        <v>0</v>
      </c>
      <c r="AI58" s="114">
        <f>IF(AI57 = 0,
0,
IF(AI55 = (AH$7+AI$7),1,0))</f>
        <v>0</v>
      </c>
      <c r="AJ58" s="130"/>
      <c r="AK58" s="131">
        <f>SUM(C58:AI58)</f>
        <v>2</v>
      </c>
      <c r="AL58" s="119"/>
    </row>
    <row r="59" spans="1:38" s="27" customFormat="1" ht="12.6" customHeight="1" x14ac:dyDescent="0.2">
      <c r="A59" s="201">
        <f>RANK(AL59,$AL$11:$AL$98,)</f>
        <v>13</v>
      </c>
      <c r="B59" s="202" t="s">
        <v>70</v>
      </c>
      <c r="C59" s="214">
        <v>4</v>
      </c>
      <c r="D59" s="215"/>
      <c r="E59" s="219">
        <v>5</v>
      </c>
      <c r="F59" s="215"/>
      <c r="G59" s="217">
        <v>6</v>
      </c>
      <c r="H59" s="218"/>
      <c r="I59" s="219">
        <v>7</v>
      </c>
      <c r="J59" s="218"/>
      <c r="K59" s="220">
        <v>5</v>
      </c>
      <c r="L59" s="218"/>
      <c r="M59" s="219"/>
      <c r="N59" s="215">
        <v>7</v>
      </c>
      <c r="O59" s="219">
        <v>6</v>
      </c>
      <c r="P59" s="215"/>
      <c r="Q59" s="229">
        <v>7</v>
      </c>
      <c r="R59" s="222"/>
      <c r="S59" s="224">
        <f>SUM(C60:R60)</f>
        <v>44</v>
      </c>
      <c r="T59" s="214"/>
      <c r="U59" s="218">
        <v>6</v>
      </c>
      <c r="V59" s="219">
        <v>6</v>
      </c>
      <c r="W59" s="218"/>
      <c r="X59" s="220"/>
      <c r="Y59" s="215">
        <v>6</v>
      </c>
      <c r="Z59" s="217">
        <v>6</v>
      </c>
      <c r="AA59" s="218"/>
      <c r="AB59" s="224">
        <f>SUM(T60:AA60)</f>
        <v>19</v>
      </c>
      <c r="AC59" s="217"/>
      <c r="AD59" s="218">
        <v>7</v>
      </c>
      <c r="AE59" s="220">
        <v>6</v>
      </c>
      <c r="AF59" s="218"/>
      <c r="AG59" s="224">
        <f>SUM(AC60:AF60)</f>
        <v>2</v>
      </c>
      <c r="AH59" s="227"/>
      <c r="AI59" s="212">
        <v>6</v>
      </c>
      <c r="AJ59" s="224">
        <f>AH60</f>
        <v>24</v>
      </c>
      <c r="AK59" s="226">
        <f>MAX($AL$11:$AL$98) - AL59</f>
        <v>48</v>
      </c>
      <c r="AL59" s="224">
        <f>$S59+$AB59+$AG59+$AJ59</f>
        <v>89</v>
      </c>
    </row>
    <row r="60" spans="1:38" s="27" customFormat="1" hidden="1" x14ac:dyDescent="0.2">
      <c r="A60" s="113" t="e">
        <f>RANK(AL60,$AL$11:$AL$98,)</f>
        <v>#N/A</v>
      </c>
      <c r="B60" s="95"/>
      <c r="C60" s="122">
        <f>(IF($C59&lt;&gt;"",($C$7*$O$105)+IF($C$7=4,($O$103)+IF($C59=$C$7+$D$7,$O$104,0),0),0)+IF($D59&lt;&gt;"",($D$7*$O$105)+IF($D$7=4,($O$103)+IF($D59=$C$7+$D$7,$O$104,0),0),0))</f>
        <v>0</v>
      </c>
      <c r="D60" s="123"/>
      <c r="E60" s="121">
        <f>(IF($E59&lt;&gt;"",($E$7*$O$105)+IF($E$7=4,($O$103)+IF($E59=$E$7+$F$7,$O$104,0),0),0)+IF($F59&lt;&gt;"",($F$7*$O$105)+IF($F$7=4,($O$103)+IF($F59=$E$7+$F$7,$O$104,0),0),0))</f>
        <v>9</v>
      </c>
      <c r="F60" s="123"/>
      <c r="G60" s="121">
        <f>(IF($G59&lt;&gt;"",($G$7*$O$105)+IF($G$7=4,($O$103)+IF($G59=$G$7+$H$7,$O$104,0),0),0)+IF($H59&lt;&gt;"",($H$7*$O$105)+IF($H$7=4,($O$103)+IF($H59=$G$7+$H$7,$O$104,0),0),0))</f>
        <v>3</v>
      </c>
      <c r="H60" s="123"/>
      <c r="I60" s="124">
        <f>(IF($I59&lt;&gt;"",($I$7*$O$105)+IF($I$7=4,($O$103)+IF($I59=$I$7+$J$7,$O$104,0),0),0)+IF($J59&lt;&gt;"",($J$7*$O$105)+IF($J$7=4,($O$103)+IF($J59=$I$7+$J$7,$O$104,0),0),0))</f>
        <v>9</v>
      </c>
      <c r="J60" s="125"/>
      <c r="K60" s="126">
        <f>(IF($K59&lt;&gt;"",($K$7*$O$105)+IF($K$7=4,($O$103)+IF($K59=$K$7+$L$7,$O$104,0),0),0)+IF($L59&lt;&gt;"",($L$7*$O$105)+IF($L$7=4,($O$103)+IF($L59=$K$7+$L$7,$O$104,0),0),0))</f>
        <v>1</v>
      </c>
      <c r="L60" s="123"/>
      <c r="M60" s="121">
        <f>(IF($M59&lt;&gt;"",($M$7*$O$105)+IF($M$7=4,($O$103)+IF($M59=$M$7+$N$7,$O$104,0),0),0)+IF($N59&lt;&gt;"",($N$7*$O$105)+IF($N$7=4,($O$103)+IF($N59=$M$7+$N$7,$O$104,0),0),0))</f>
        <v>9</v>
      </c>
      <c r="N60" s="123"/>
      <c r="O60" s="124">
        <f>(IF($O59&lt;&gt;"",($O$7*$O$105)+IF($O$7=4,($O$103)+IF($O59=$O$7+$P$7,$O$104,0),0),0)+IF($P59&lt;&gt;"",($P$7*$O$105)+IF($P$7=4,($O$103)+IF($P59=$O$7+$P$7,$O$104,0),0),0))</f>
        <v>2</v>
      </c>
      <c r="P60" s="123"/>
      <c r="Q60" s="124">
        <f>(IF($Q59&lt;&gt;"",($Q$7*$O$105)+IF($Q$7=4,($O$103)+IF($Q59=$Q$7+$R$7,$O$104,0),0),0)+IF($R59&lt;&gt;"",($R$7*$O$105)+IF($R$7=4,($O$103)+IF($R59=$Q$7+$R$7,$O$104,0),0),0))</f>
        <v>11</v>
      </c>
      <c r="R60" s="127"/>
      <c r="S60" s="117"/>
      <c r="T60" s="122">
        <f>(IF($T59&lt;&gt;"",($T$7*$P$105)+IF($T$7=4,($P$103)+IF($T59=$T$7+$U$7,$P$104,0),0),0)+IF($U59&lt;&gt;"",($U$7*$P$105)+IF($U$7=4,($P$103)+IF($U59=$T$7+$U$7,$P$104,0),0),0))</f>
        <v>2</v>
      </c>
      <c r="U60" s="122"/>
      <c r="V60" s="122">
        <f>(IF($V59&lt;&gt;"",($V$7*$P$105)+IF($V$7=4,($P$103)+IF($V59=$V$7+$W$7,$P$104,0),0),0)+IF($W59&lt;&gt;"",($W$7*$P$105)+IF($W$7=4,($P$103)+IF($W59=$V$7+$W$7,$P$104,0),0),0))</f>
        <v>0</v>
      </c>
      <c r="W60" s="122"/>
      <c r="X60" s="122">
        <f>(IF($X59&lt;&gt;"",($X$7*$P$105)+IF($X$7=4,($P$103)+IF($X59=$X$7+$Y$7,$P$104,0),0),0)+IF($Y59&lt;&gt;"",($Y$7*$P$105)+IF($Y$7=4,($P$103)+IF($Y59=$X$7+$Y$7,$P$104,0),0),0))</f>
        <v>3</v>
      </c>
      <c r="Y60" s="59"/>
      <c r="Z60" s="122">
        <f>(IF($Z59&lt;&gt;"",($Z$7*$P$105)+IF($Z$7=4,($P$103)+IF($Z59=$Z$7+$AA$7,$P$104,0),0),0)+IF($AA59&lt;&gt;"",($AA$7*$P$105)+IF($AA$7=4,($P$103)+IF($AA59=$Z$7+$AA$7,$P$104,0),0),0))</f>
        <v>14</v>
      </c>
      <c r="AA60" s="60"/>
      <c r="AB60" s="117"/>
      <c r="AC60" s="122">
        <f>(IF($AC59&lt;&gt;"",($AC$7*$Q$105)+IF($AC$7=4,($Q$103)+IF($AC59=$AC$7+$AD$7,$Q$104,0),0),0)+IF($AD59&lt;&gt;"",($AD$7*$Q$105)+IF($AD$7=4,($Q$103)+IF($AD59=$AC$7+$AD$7,$Q$104,0),0),0))</f>
        <v>0</v>
      </c>
      <c r="AD60" s="122"/>
      <c r="AE60" s="122">
        <f>(IF($AE59&lt;&gt;"",($AE$7*$Q$105)+IF($AE$7=4,($Q$103)+IF($AE59=$AE$7+$AF$7,$Q$104,0),0),0)+IF($AF59&lt;&gt;"",($AF$7*$Q$105)+IF($AF$7=4,($Q$103)+IF($AF59=$AE$7+$AF$7,$Q$104,0),0),0))</f>
        <v>2</v>
      </c>
      <c r="AF60" s="82"/>
      <c r="AG60" s="117"/>
      <c r="AH60" s="122">
        <f>(IF($AH59&lt;&gt;"",($AH$7*$Q$105)+IF($AH$7=4,($R$103)+IF($AH59=$AH$7+$AI$7,$R$104,0),0),0)+IF($AI59&lt;&gt;"",($AI$7*$R$105)+IF($AI$7=4,($R$103)+IF($AI59=$AH$7+$AI$7,$R$104,0),0),0))</f>
        <v>24</v>
      </c>
      <c r="AI60" s="128"/>
      <c r="AJ60" s="117"/>
      <c r="AK60" s="106"/>
      <c r="AL60" s="117"/>
    </row>
    <row r="61" spans="1:38" s="27" customFormat="1" hidden="1" x14ac:dyDescent="0.2">
      <c r="A61" s="96"/>
      <c r="B61" s="120" t="s">
        <v>52</v>
      </c>
      <c r="C61" s="114">
        <f>IF(ISBLANK(C59),
0,
IF(C$7= 4, 1, 0))</f>
        <v>0</v>
      </c>
      <c r="D61" s="114">
        <f>IF(ISBLANK(D59),
0,
IF(D$7 = 4, 1, 0))</f>
        <v>0</v>
      </c>
      <c r="E61" s="114">
        <f>IF(ISBLANK(E59),
0,
IF(E$7= 4, 1, 0))</f>
        <v>1</v>
      </c>
      <c r="F61" s="114">
        <f>IF(ISBLANK(F59),
0,
IF(F$7 = 4, 1, 0))</f>
        <v>0</v>
      </c>
      <c r="G61" s="114">
        <f>IF(ISBLANK(G59),
0,
IF(G$7= 4, 1, 0))</f>
        <v>0</v>
      </c>
      <c r="H61" s="114">
        <f>IF(ISBLANK(H59),
0,
IF(H$7 = 4, 1, 0))</f>
        <v>0</v>
      </c>
      <c r="I61" s="114">
        <f>IF(ISBLANK(I59),
0,
IF(I$7= 4, 1, 0))</f>
        <v>1</v>
      </c>
      <c r="J61" s="114">
        <f>IF(ISBLANK(J59),
0,
IF(J$7 = 4, 1, 0))</f>
        <v>0</v>
      </c>
      <c r="K61" s="114">
        <f>IF(ISBLANK(K59),
0,
IF(K$7= 4, 1, 0))</f>
        <v>0</v>
      </c>
      <c r="L61" s="114">
        <f>IF(ISBLANK(L59),
0,
IF(L$7 = 4, 1, 0))</f>
        <v>0</v>
      </c>
      <c r="M61" s="114">
        <f>IF(ISBLANK(M59),
0,
IF(M$7= 4, 1, 0))</f>
        <v>0</v>
      </c>
      <c r="N61" s="114">
        <f>IF(ISBLANK(N59),
0,
IF(N$7 = 4, 1, 0))</f>
        <v>1</v>
      </c>
      <c r="O61" s="114">
        <f>IF(ISBLANK(O59),
0,
IF(O$7= 4, 1, 0))</f>
        <v>0</v>
      </c>
      <c r="P61" s="114">
        <f>IF(ISBLANK(P59),
0,
IF(P$7 = 4, 1, 0))</f>
        <v>0</v>
      </c>
      <c r="Q61" s="114">
        <f>IF(ISBLANK(Q59),
0,
IF(Q$7= 4, 1, 0))</f>
        <v>1</v>
      </c>
      <c r="R61" s="114">
        <f>IF(ISBLANK(R59),
0,
IF(R$7 = 4, 1, 0))</f>
        <v>0</v>
      </c>
      <c r="S61" s="130"/>
      <c r="T61" s="114">
        <f>IF(ISBLANK(T59),
0,
IF(T$7= 4, 1, 0))</f>
        <v>0</v>
      </c>
      <c r="U61" s="114">
        <f>IF(ISBLANK(U59),
0,
IF(U$7 = 4, 1, 0))</f>
        <v>0</v>
      </c>
      <c r="V61" s="114">
        <f>IF(ISBLANK(V59),
0,
IF(V$7= 4, 1, 0))</f>
        <v>0</v>
      </c>
      <c r="W61" s="114">
        <f>IF(ISBLANK(W59),
0,
IF(W$7 = 4, 1, 0))</f>
        <v>0</v>
      </c>
      <c r="X61" s="114">
        <f>IF(ISBLANK(X59),
0,
IF(X$7= 4, 1, 0))</f>
        <v>0</v>
      </c>
      <c r="Y61" s="114">
        <f>IF(ISBLANK(Y59),
0,
IF(Y$7 = 4, 1, 0))</f>
        <v>0</v>
      </c>
      <c r="Z61" s="114">
        <f>IF(ISBLANK(Z59),
0,
IF(Z$7= 4, 1, 0))</f>
        <v>1</v>
      </c>
      <c r="AA61" s="114">
        <f>IF(ISBLANK(AA59),
0,
IF(AA$7 = 4, 1, 0))</f>
        <v>0</v>
      </c>
      <c r="AB61" s="130"/>
      <c r="AC61" s="114">
        <f>IF(ISBLANK(AC59),
0,
IF(AC$7= 4, 1, 0))</f>
        <v>0</v>
      </c>
      <c r="AD61" s="114">
        <f>IF(ISBLANK(AD59),
0,
IF(AD$7 = 4, 1, 0))</f>
        <v>0</v>
      </c>
      <c r="AE61" s="114">
        <f>IF(ISBLANK(AE59),
0,
IF(AE$7= 4, 1, 0))</f>
        <v>0</v>
      </c>
      <c r="AF61" s="114">
        <f>IF(ISBLANK(AF59),
0,
IF(AF$7 = 4, 1, 0))</f>
        <v>0</v>
      </c>
      <c r="AG61" s="130"/>
      <c r="AH61" s="114">
        <f>IF(ISBLANK(AH59),
0,
IF(AH$7= 4, 1, 0))</f>
        <v>0</v>
      </c>
      <c r="AI61" s="114">
        <f>IF(ISBLANK(AI59),
0,
IF(AI$7 = 4, 1, 0))</f>
        <v>1</v>
      </c>
      <c r="AJ61" s="130"/>
      <c r="AK61" s="131">
        <f>SUM(C61:AI61)</f>
        <v>6</v>
      </c>
      <c r="AL61" s="119"/>
    </row>
    <row r="62" spans="1:38" s="27" customFormat="1" hidden="1" x14ac:dyDescent="0.2">
      <c r="A62" s="96"/>
      <c r="B62" s="120" t="s">
        <v>53</v>
      </c>
      <c r="C62" s="114">
        <f>IF(C61 = 0,
0,
IF(C59 = (C$7+D$7),1,0))</f>
        <v>0</v>
      </c>
      <c r="D62" s="114">
        <f>IF(D61 = 0,
0,
IF(D59 = (C$7+D$7),1,0))</f>
        <v>0</v>
      </c>
      <c r="E62" s="114">
        <f>IF(E61 = 0,
0,
IF(E59 = (E$7+F$7),1,0))</f>
        <v>0</v>
      </c>
      <c r="F62" s="114">
        <f>IF(F61 = 0,
0,
IF(F59 = (E$7+F$7),1,0))</f>
        <v>0</v>
      </c>
      <c r="G62" s="114">
        <f>IF(G61 = 0,
0,
IF(G59 = (G$7+H$7),1,0))</f>
        <v>0</v>
      </c>
      <c r="H62" s="114">
        <f>IF(H61 = 0,
0,
IF(H59 = (G$7+H$7),1,0))</f>
        <v>0</v>
      </c>
      <c r="I62" s="114">
        <f>IF(I61 = 0,
0,
IF(I59 = (I$7+J$7),1,0))</f>
        <v>0</v>
      </c>
      <c r="J62" s="114">
        <f>IF(J61 = 0,
0,
IF(J59 = (I$7+J$7),1,0))</f>
        <v>0</v>
      </c>
      <c r="K62" s="114">
        <f>IF(K61 = 0,
0,
IF(K59 = (K$7+L$7),1,0))</f>
        <v>0</v>
      </c>
      <c r="L62" s="114">
        <f>IF(L61 = 0,
0,
IF(L59 = (K$7+L$7),1,0))</f>
        <v>0</v>
      </c>
      <c r="M62" s="114">
        <f>IF(M61 = 0,
0,
IF(M59 = (M$7+N$7),1,0))</f>
        <v>0</v>
      </c>
      <c r="N62" s="114">
        <f>IF(N61 = 0,
0,
IF(N59 = (M$7+N$7),1,0))</f>
        <v>0</v>
      </c>
      <c r="O62" s="114">
        <f>IF(O61 = 0,
0,
IF(O59 = (O$7+P$7),1,0))</f>
        <v>0</v>
      </c>
      <c r="P62" s="114">
        <f>IF(P61 = 0,
0,
IF(P59 = (O$7+P$7),1,0))</f>
        <v>0</v>
      </c>
      <c r="Q62" s="114">
        <f>IF(Q61 = 0,
0,
IF(Q59 = (Q$7+R$7),1,0))</f>
        <v>1</v>
      </c>
      <c r="R62" s="114">
        <f>IF(R61 = 0,
0,
IF(R59 = (Q$7+R$7),1,0))</f>
        <v>0</v>
      </c>
      <c r="S62" s="130"/>
      <c r="T62" s="114">
        <f>IF(T61 = 0,
0,
IF(T59 = (T$7+U$7),1,0))</f>
        <v>0</v>
      </c>
      <c r="U62" s="114">
        <f>IF(U61 = 0,
0,
IF(U59 = (T$7+U$7),1,0))</f>
        <v>0</v>
      </c>
      <c r="V62" s="114">
        <f>IF(V61 = 0,
0,
IF(V59 = (V$7+W$7),1,0))</f>
        <v>0</v>
      </c>
      <c r="W62" s="114">
        <f>IF(W61 = 0,
0,
IF(W59 = (V$7+W$7),1,0))</f>
        <v>0</v>
      </c>
      <c r="X62" s="114">
        <f>IF(X61 = 0,
0,
IF(X59 = (X$7+Y$7),1,0))</f>
        <v>0</v>
      </c>
      <c r="Y62" s="114">
        <f>IF(Y61 = 0,
0,
IF(Y59 = (X$7+Y$7),1,0))</f>
        <v>0</v>
      </c>
      <c r="Z62" s="114">
        <f>IF(Z61 = 0,
0,
IF(Z59 = (Z$7+AA$7),1,0))</f>
        <v>0</v>
      </c>
      <c r="AA62" s="114">
        <f>IF(AA61 = 0,
0,
IF(AA59 = (Z$7+AA$7),1,0))</f>
        <v>0</v>
      </c>
      <c r="AB62" s="130"/>
      <c r="AC62" s="114">
        <f>IF(AC61 = 0,
0,
IF(AC59 = (AC$7+AD$7),1,0))</f>
        <v>0</v>
      </c>
      <c r="AD62" s="114">
        <f>IF(AD61 = 0,
0,
IF(AD59 = (AC$7+AD$7),1,0))</f>
        <v>0</v>
      </c>
      <c r="AE62" s="114">
        <f>IF(AE61 = 0,
0,
IF(AE59 = (AE$7+AF$7),1,0))</f>
        <v>0</v>
      </c>
      <c r="AF62" s="114">
        <f>IF(AF61 = 0,
0,
IF(AF59 = (AE$7+AF$7),1,0))</f>
        <v>0</v>
      </c>
      <c r="AG62" s="130"/>
      <c r="AH62" s="114">
        <f>IF(AH61 = 0,
0,
IF(AH59 = (AH$7+AI$7),1,0))</f>
        <v>0</v>
      </c>
      <c r="AI62" s="114">
        <f>IF(AI61 = 0,
0,
IF(AI59 = (AH$7+AI$7),1,0))</f>
        <v>0</v>
      </c>
      <c r="AJ62" s="130"/>
      <c r="AK62" s="131">
        <f>SUM(C62:AI62)</f>
        <v>1</v>
      </c>
      <c r="AL62" s="119"/>
    </row>
    <row r="63" spans="1:38" s="27" customFormat="1" ht="12.6" customHeight="1" x14ac:dyDescent="0.2">
      <c r="A63" s="113">
        <f>RANK(AL63,$AL$11:$AL$98,)</f>
        <v>14</v>
      </c>
      <c r="B63" s="81" t="s">
        <v>69</v>
      </c>
      <c r="C63" s="46">
        <v>5</v>
      </c>
      <c r="D63" s="45"/>
      <c r="E63" s="197">
        <v>7</v>
      </c>
      <c r="F63" s="45"/>
      <c r="G63" s="48">
        <v>6</v>
      </c>
      <c r="H63" s="47"/>
      <c r="I63" s="44">
        <v>6</v>
      </c>
      <c r="J63" s="47"/>
      <c r="K63" s="49">
        <v>4</v>
      </c>
      <c r="L63" s="47"/>
      <c r="M63" s="44">
        <v>5</v>
      </c>
      <c r="N63" s="45"/>
      <c r="O63" s="44"/>
      <c r="P63" s="45">
        <v>7</v>
      </c>
      <c r="Q63" s="48"/>
      <c r="R63" s="50">
        <v>7</v>
      </c>
      <c r="S63" s="118">
        <f>SUM(C64:R64)</f>
        <v>38</v>
      </c>
      <c r="T63" s="46"/>
      <c r="U63" s="47">
        <v>6</v>
      </c>
      <c r="V63" s="44">
        <v>5</v>
      </c>
      <c r="W63" s="47"/>
      <c r="X63" s="49"/>
      <c r="Y63" s="45">
        <v>5</v>
      </c>
      <c r="Z63" s="200">
        <v>7</v>
      </c>
      <c r="AA63" s="47"/>
      <c r="AB63" s="118">
        <f>SUM(T64:AA64)</f>
        <v>23</v>
      </c>
      <c r="AC63" s="48"/>
      <c r="AD63" s="244">
        <v>5</v>
      </c>
      <c r="AE63" s="49">
        <v>5</v>
      </c>
      <c r="AF63" s="47"/>
      <c r="AG63" s="118">
        <f>SUM(AC64:AF64)</f>
        <v>2</v>
      </c>
      <c r="AH63" s="99"/>
      <c r="AI63" s="57">
        <v>6</v>
      </c>
      <c r="AJ63" s="118">
        <f>AH64</f>
        <v>24</v>
      </c>
      <c r="AK63" s="107">
        <f>MAX($AL$11:$AL$98) - AL63</f>
        <v>50</v>
      </c>
      <c r="AL63" s="118">
        <f>$S63+$AB63+$AG63+$AJ63</f>
        <v>87</v>
      </c>
    </row>
    <row r="64" spans="1:38" s="27" customFormat="1" hidden="1" x14ac:dyDescent="0.2">
      <c r="A64" s="113" t="e">
        <f>RANK(AL64,$AL$11:$AL$98,)</f>
        <v>#N/A</v>
      </c>
      <c r="B64" s="95"/>
      <c r="C64" s="122">
        <f>(IF($C63&lt;&gt;"",($C$7*$O$105)+IF($C$7=4,($O$103)+IF($C63=$C$7+$D$7,$O$104,0),0),0)+IF($D63&lt;&gt;"",($D$7*$O$105)+IF($D$7=4,($O$103)+IF($D63=$C$7+$D$7,$O$104,0),0),0))</f>
        <v>0</v>
      </c>
      <c r="D64" s="123"/>
      <c r="E64" s="121">
        <f>(IF($E63&lt;&gt;"",($E$7*$O$105)+IF($E$7=4,($O$103)+IF($E63=$E$7+$F$7,$O$104,0),0),0)+IF($F63&lt;&gt;"",($F$7*$O$105)+IF($F$7=4,($O$103)+IF($F63=$E$7+$F$7,$O$104,0),0),0))</f>
        <v>11</v>
      </c>
      <c r="F64" s="123"/>
      <c r="G64" s="121">
        <f>(IF($G63&lt;&gt;"",($G$7*$O$105)+IF($G$7=4,($O$103)+IF($G63=$G$7+$H$7,$O$104,0),0),0)+IF($H63&lt;&gt;"",($H$7*$O$105)+IF($H$7=4,($O$103)+IF($H63=$G$7+$H$7,$O$104,0),0),0))</f>
        <v>3</v>
      </c>
      <c r="H64" s="123"/>
      <c r="I64" s="124">
        <f>(IF($I63&lt;&gt;"",($I$7*$O$105)+IF($I$7=4,($O$103)+IF($I63=$I$7+$J$7,$O$104,0),0),0)+IF($J63&lt;&gt;"",($J$7*$O$105)+IF($J$7=4,($O$103)+IF($J63=$I$7+$J$7,$O$104,0),0),0))</f>
        <v>9</v>
      </c>
      <c r="J64" s="125"/>
      <c r="K64" s="126">
        <f>(IF($K63&lt;&gt;"",($K$7*$O$105)+IF($K$7=4,($O$103)+IF($K63=$K$7+$L$7,$O$104,0),0),0)+IF($L63&lt;&gt;"",($L$7*$O$105)+IF($L$7=4,($O$103)+IF($L63=$K$7+$L$7,$O$104,0),0),0))</f>
        <v>1</v>
      </c>
      <c r="L64" s="123"/>
      <c r="M64" s="121">
        <f>(IF($M63&lt;&gt;"",($M$7*$O$105)+IF($M$7=4,($O$103)+IF($M63=$M$7+$N$7,$O$104,0),0),0)+IF($N63&lt;&gt;"",($N$7*$O$105)+IF($N$7=4,($O$103)+IF($N63=$M$7+$N$7,$O$104,0),0),0))</f>
        <v>2</v>
      </c>
      <c r="N64" s="123"/>
      <c r="O64" s="124">
        <f>(IF($O63&lt;&gt;"",($O$7*$O$105)+IF($O$7=4,($O$103)+IF($O63=$O$7+$P$7,$O$104,0),0),0)+IF($P63&lt;&gt;"",($P$7*$O$105)+IF($P$7=4,($O$103)+IF($P63=$O$7+$P$7,$O$104,0),0),0))</f>
        <v>9</v>
      </c>
      <c r="P64" s="123"/>
      <c r="Q64" s="124">
        <f>(IF($Q63&lt;&gt;"",($Q$7*$O$105)+IF($Q$7=4,($O$103)+IF($Q63=$Q$7+$R$7,$O$104,0),0),0)+IF($R63&lt;&gt;"",($R$7*$O$105)+IF($R$7=4,($O$103)+IF($R63=$Q$7+$R$7,$O$104,0),0),0))</f>
        <v>3</v>
      </c>
      <c r="R64" s="127"/>
      <c r="S64" s="117"/>
      <c r="T64" s="122">
        <f>(IF($T63&lt;&gt;"",($T$7*$P$105)+IF($T$7=4,($P$103)+IF($T63=$T$7+$U$7,$P$104,0),0),0)+IF($U63&lt;&gt;"",($U$7*$P$105)+IF($U$7=4,($P$103)+IF($U63=$T$7+$U$7,$P$104,0),0),0))</f>
        <v>2</v>
      </c>
      <c r="U64" s="122"/>
      <c r="V64" s="122">
        <f>(IF($V63&lt;&gt;"",($V$7*$P$105)+IF($V$7=4,($P$103)+IF($V63=$V$7+$W$7,$P$104,0),0),0)+IF($W63&lt;&gt;"",($W$7*$P$105)+IF($W$7=4,($P$103)+IF($W63=$V$7+$W$7,$P$104,0),0),0))</f>
        <v>0</v>
      </c>
      <c r="W64" s="122"/>
      <c r="X64" s="122">
        <f>(IF($X63&lt;&gt;"",($X$7*$P$105)+IF($X$7=4,($P$103)+IF($X63=$X$7+$Y$7,$P$104,0),0),0)+IF($Y63&lt;&gt;"",($Y$7*$P$105)+IF($Y$7=4,($P$103)+IF($Y63=$X$7+$Y$7,$P$104,0),0),0))</f>
        <v>3</v>
      </c>
      <c r="Y64" s="59"/>
      <c r="Z64" s="122">
        <f>(IF($Z63&lt;&gt;"",($Z$7*$P$105)+IF($Z$7=4,($P$103)+IF($Z63=$Z$7+$AA$7,$P$104,0),0),0)+IF($AA63&lt;&gt;"",($AA$7*$P$105)+IF($AA$7=4,($P$103)+IF($AA63=$Z$7+$AA$7,$P$104,0),0),0))</f>
        <v>18</v>
      </c>
      <c r="AA64" s="60"/>
      <c r="AB64" s="117"/>
      <c r="AC64" s="122">
        <f>(IF($AC63&lt;&gt;"",($AC$7*$Q$105)+IF($AC$7=4,($Q$103)+IF($AC63=$AC$7+$AD$7,$Q$104,0),0),0)+IF($AD63&lt;&gt;"",($AD$7*$Q$105)+IF($AD$7=4,($Q$103)+IF($AD63=$AC$7+$AD$7,$Q$104,0),0),0))</f>
        <v>0</v>
      </c>
      <c r="AD64" s="122"/>
      <c r="AE64" s="122">
        <f>(IF($AE63&lt;&gt;"",($AE$7*$Q$105)+IF($AE$7=4,($Q$103)+IF($AE63=$AE$7+$AF$7,$Q$104,0),0),0)+IF($AF63&lt;&gt;"",($AF$7*$Q$105)+IF($AF$7=4,($Q$103)+IF($AF63=$AE$7+$AF$7,$Q$104,0),0),0))</f>
        <v>2</v>
      </c>
      <c r="AF64" s="82"/>
      <c r="AG64" s="117"/>
      <c r="AH64" s="122">
        <f>(IF($AH63&lt;&gt;"",($AH$7*$Q$105)+IF($AH$7=4,($R$103)+IF($AH63=$AH$7+$AI$7,$R$104,0),0),0)+IF($AI63&lt;&gt;"",($AI$7*$R$105)+IF($AI$7=4,($R$103)+IF($AI63=$AH$7+$AI$7,$R$104,0),0),0))</f>
        <v>24</v>
      </c>
      <c r="AI64" s="128"/>
      <c r="AJ64" s="117"/>
      <c r="AK64" s="106"/>
      <c r="AL64" s="117"/>
    </row>
    <row r="65" spans="1:38" s="27" customFormat="1" hidden="1" x14ac:dyDescent="0.2">
      <c r="A65" s="96"/>
      <c r="B65" s="120" t="s">
        <v>52</v>
      </c>
      <c r="C65" s="114">
        <f>IF(ISBLANK(C63),
0,
IF(C$7= 4, 1, 0))</f>
        <v>0</v>
      </c>
      <c r="D65" s="114">
        <f>IF(ISBLANK(D63),
0,
IF(D$7 = 4, 1, 0))</f>
        <v>0</v>
      </c>
      <c r="E65" s="114">
        <f>IF(ISBLANK(E63),
0,
IF(E$7= 4, 1, 0))</f>
        <v>1</v>
      </c>
      <c r="F65" s="114">
        <f>IF(ISBLANK(F63),
0,
IF(F$7 = 4, 1, 0))</f>
        <v>0</v>
      </c>
      <c r="G65" s="114">
        <f>IF(ISBLANK(G63),
0,
IF(G$7= 4, 1, 0))</f>
        <v>0</v>
      </c>
      <c r="H65" s="114">
        <f>IF(ISBLANK(H63),
0,
IF(H$7 = 4, 1, 0))</f>
        <v>0</v>
      </c>
      <c r="I65" s="114">
        <f>IF(ISBLANK(I63),
0,
IF(I$7= 4, 1, 0))</f>
        <v>1</v>
      </c>
      <c r="J65" s="114">
        <f>IF(ISBLANK(J63),
0,
IF(J$7 = 4, 1, 0))</f>
        <v>0</v>
      </c>
      <c r="K65" s="114">
        <f>IF(ISBLANK(K63),
0,
IF(K$7= 4, 1, 0))</f>
        <v>0</v>
      </c>
      <c r="L65" s="114">
        <f>IF(ISBLANK(L63),
0,
IF(L$7 = 4, 1, 0))</f>
        <v>0</v>
      </c>
      <c r="M65" s="114">
        <f>IF(ISBLANK(M63),
0,
IF(M$7= 4, 1, 0))</f>
        <v>0</v>
      </c>
      <c r="N65" s="114">
        <f>IF(ISBLANK(N63),
0,
IF(N$7 = 4, 1, 0))</f>
        <v>0</v>
      </c>
      <c r="O65" s="114">
        <f>IF(ISBLANK(O63),
0,
IF(O$7= 4, 1, 0))</f>
        <v>0</v>
      </c>
      <c r="P65" s="114">
        <f>IF(ISBLANK(P63),
0,
IF(P$7 = 4, 1, 0))</f>
        <v>1</v>
      </c>
      <c r="Q65" s="114">
        <f>IF(ISBLANK(Q63),
0,
IF(Q$7= 4, 1, 0))</f>
        <v>0</v>
      </c>
      <c r="R65" s="114">
        <f>IF(ISBLANK(R63),
0,
IF(R$7 = 4, 1, 0))</f>
        <v>0</v>
      </c>
      <c r="S65" s="130"/>
      <c r="T65" s="114">
        <f>IF(ISBLANK(T63),
0,
IF(T$7= 4, 1, 0))</f>
        <v>0</v>
      </c>
      <c r="U65" s="114">
        <f>IF(ISBLANK(U63),
0,
IF(U$7 = 4, 1, 0))</f>
        <v>0</v>
      </c>
      <c r="V65" s="114">
        <f>IF(ISBLANK(V63),
0,
IF(V$7= 4, 1, 0))</f>
        <v>0</v>
      </c>
      <c r="W65" s="114">
        <f>IF(ISBLANK(W63),
0,
IF(W$7 = 4, 1, 0))</f>
        <v>0</v>
      </c>
      <c r="X65" s="114">
        <f>IF(ISBLANK(X63),
0,
IF(X$7= 4, 1, 0))</f>
        <v>0</v>
      </c>
      <c r="Y65" s="114">
        <f>IF(ISBLANK(Y63),
0,
IF(Y$7 = 4, 1, 0))</f>
        <v>0</v>
      </c>
      <c r="Z65" s="114">
        <f>IF(ISBLANK(Z63),
0,
IF(Z$7= 4, 1, 0))</f>
        <v>1</v>
      </c>
      <c r="AA65" s="114">
        <f>IF(ISBLANK(AA63),
0,
IF(AA$7 = 4, 1, 0))</f>
        <v>0</v>
      </c>
      <c r="AB65" s="130"/>
      <c r="AC65" s="114">
        <f>IF(ISBLANK(AC63),
0,
IF(AC$7= 4, 1, 0))</f>
        <v>0</v>
      </c>
      <c r="AD65" s="114">
        <f>IF(ISBLANK(AD63),
0,
IF(AD$7 = 4, 1, 0))</f>
        <v>0</v>
      </c>
      <c r="AE65" s="114">
        <f>IF(ISBLANK(AE63),
0,
IF(AE$7= 4, 1, 0))</f>
        <v>0</v>
      </c>
      <c r="AF65" s="114">
        <f>IF(ISBLANK(AF63),
0,
IF(AF$7 = 4, 1, 0))</f>
        <v>0</v>
      </c>
      <c r="AG65" s="130"/>
      <c r="AH65" s="114">
        <f>IF(ISBLANK(AH63),
0,
IF(AH$7= 4, 1, 0))</f>
        <v>0</v>
      </c>
      <c r="AI65" s="114">
        <f>IF(ISBLANK(AI63),
0,
IF(AI$7 = 4, 1, 0))</f>
        <v>1</v>
      </c>
      <c r="AJ65" s="130"/>
      <c r="AK65" s="131">
        <f>SUM(C65:AI65)</f>
        <v>5</v>
      </c>
      <c r="AL65" s="119"/>
    </row>
    <row r="66" spans="1:38" s="27" customFormat="1" hidden="1" x14ac:dyDescent="0.2">
      <c r="A66" s="96"/>
      <c r="B66" s="120" t="s">
        <v>53</v>
      </c>
      <c r="C66" s="114">
        <f>IF(C65 = 0,
0,
IF(C63 = (C$7+D$7),1,0))</f>
        <v>0</v>
      </c>
      <c r="D66" s="114">
        <f>IF(D65 = 0,
0,
IF(D63 = (C$7+D$7),1,0))</f>
        <v>0</v>
      </c>
      <c r="E66" s="114">
        <f>IF(E65 = 0,
0,
IF(E63 = (E$7+F$7),1,0))</f>
        <v>1</v>
      </c>
      <c r="F66" s="114">
        <f>IF(F65 = 0,
0,
IF(F63 = (E$7+F$7),1,0))</f>
        <v>0</v>
      </c>
      <c r="G66" s="114">
        <f>IF(G65 = 0,
0,
IF(G63 = (G$7+H$7),1,0))</f>
        <v>0</v>
      </c>
      <c r="H66" s="114">
        <f>IF(H65 = 0,
0,
IF(H63 = (G$7+H$7),1,0))</f>
        <v>0</v>
      </c>
      <c r="I66" s="114">
        <f>IF(I65 = 0,
0,
IF(I63 = (I$7+J$7),1,0))</f>
        <v>0</v>
      </c>
      <c r="J66" s="114">
        <f>IF(J65 = 0,
0,
IF(J63 = (I$7+J$7),1,0))</f>
        <v>0</v>
      </c>
      <c r="K66" s="114">
        <f>IF(K65 = 0,
0,
IF(K63 = (K$7+L$7),1,0))</f>
        <v>0</v>
      </c>
      <c r="L66" s="114">
        <f>IF(L65 = 0,
0,
IF(L63 = (K$7+L$7),1,0))</f>
        <v>0</v>
      </c>
      <c r="M66" s="114">
        <f>IF(M65 = 0,
0,
IF(M63 = (M$7+N$7),1,0))</f>
        <v>0</v>
      </c>
      <c r="N66" s="114">
        <f>IF(N65 = 0,
0,
IF(N63 = (M$7+N$7),1,0))</f>
        <v>0</v>
      </c>
      <c r="O66" s="114">
        <f>IF(O65 = 0,
0,
IF(O63 = (O$7+P$7),1,0))</f>
        <v>0</v>
      </c>
      <c r="P66" s="114">
        <f>IF(P65 = 0,
0,
IF(P63 = (O$7+P$7),1,0))</f>
        <v>0</v>
      </c>
      <c r="Q66" s="114">
        <f>IF(Q65 = 0,
0,
IF(Q63 = (Q$7+R$7),1,0))</f>
        <v>0</v>
      </c>
      <c r="R66" s="114">
        <f>IF(R65 = 0,
0,
IF(R63 = (Q$7+R$7),1,0))</f>
        <v>0</v>
      </c>
      <c r="S66" s="130"/>
      <c r="T66" s="114">
        <f>IF(T65 = 0,
0,
IF(T63 = (T$7+U$7),1,0))</f>
        <v>0</v>
      </c>
      <c r="U66" s="114">
        <f>IF(U65 = 0,
0,
IF(U63 = (T$7+U$7),1,0))</f>
        <v>0</v>
      </c>
      <c r="V66" s="114">
        <f>IF(V65 = 0,
0,
IF(V63 = (V$7+W$7),1,0))</f>
        <v>0</v>
      </c>
      <c r="W66" s="114">
        <f>IF(W65 = 0,
0,
IF(W63 = (V$7+W$7),1,0))</f>
        <v>0</v>
      </c>
      <c r="X66" s="114">
        <f>IF(X65 = 0,
0,
IF(X63 = (X$7+Y$7),1,0))</f>
        <v>0</v>
      </c>
      <c r="Y66" s="114">
        <f>IF(Y65 = 0,
0,
IF(Y63 = (X$7+Y$7),1,0))</f>
        <v>0</v>
      </c>
      <c r="Z66" s="114">
        <f>IF(Z65 = 0,
0,
IF(Z63 = (Z$7+AA$7),1,0))</f>
        <v>1</v>
      </c>
      <c r="AA66" s="114">
        <f>IF(AA65 = 0,
0,
IF(AA63 = (Z$7+AA$7),1,0))</f>
        <v>0</v>
      </c>
      <c r="AB66" s="130"/>
      <c r="AC66" s="114">
        <f>IF(AC65 = 0,
0,
IF(AC63 = (AC$7+AD$7),1,0))</f>
        <v>0</v>
      </c>
      <c r="AD66" s="114">
        <f>IF(AD65 = 0,
0,
IF(AD63 = (AC$7+AD$7),1,0))</f>
        <v>0</v>
      </c>
      <c r="AE66" s="114">
        <f>IF(AE65 = 0,
0,
IF(AE63 = (AE$7+AF$7),1,0))</f>
        <v>0</v>
      </c>
      <c r="AF66" s="114">
        <f>IF(AF65 = 0,
0,
IF(AF63 = (AE$7+AF$7),1,0))</f>
        <v>0</v>
      </c>
      <c r="AG66" s="130"/>
      <c r="AH66" s="114">
        <f>IF(AH65 = 0,
0,
IF(AH63 = (AH$7+AI$7),1,0))</f>
        <v>0</v>
      </c>
      <c r="AI66" s="114">
        <f>IF(AI65 = 0,
0,
IF(AI63 = (AH$7+AI$7),1,0))</f>
        <v>0</v>
      </c>
      <c r="AJ66" s="130"/>
      <c r="AK66" s="131">
        <f>SUM(C66:AI66)</f>
        <v>2</v>
      </c>
      <c r="AL66" s="119"/>
    </row>
    <row r="67" spans="1:38" s="27" customFormat="1" ht="12.75" customHeight="1" x14ac:dyDescent="0.2">
      <c r="A67" s="201">
        <f>RANK(AL67,$AL$11:$AL$98,)</f>
        <v>15</v>
      </c>
      <c r="B67" s="202" t="s">
        <v>67</v>
      </c>
      <c r="C67" s="214">
        <v>5</v>
      </c>
      <c r="D67" s="215"/>
      <c r="E67" s="216">
        <v>7</v>
      </c>
      <c r="F67" s="215"/>
      <c r="G67" s="217">
        <v>5</v>
      </c>
      <c r="H67" s="218"/>
      <c r="I67" s="219">
        <v>6</v>
      </c>
      <c r="J67" s="218"/>
      <c r="K67" s="220">
        <v>5</v>
      </c>
      <c r="L67" s="218"/>
      <c r="M67" s="219">
        <v>6</v>
      </c>
      <c r="N67" s="215"/>
      <c r="O67" s="219">
        <v>5</v>
      </c>
      <c r="P67" s="215"/>
      <c r="Q67" s="229">
        <v>7</v>
      </c>
      <c r="R67" s="222"/>
      <c r="S67" s="224">
        <f>SUM(C68:R68)</f>
        <v>39</v>
      </c>
      <c r="T67" s="214"/>
      <c r="U67" s="218">
        <v>6</v>
      </c>
      <c r="V67" s="219">
        <v>6</v>
      </c>
      <c r="W67" s="218"/>
      <c r="X67" s="220"/>
      <c r="Y67" s="215">
        <v>6</v>
      </c>
      <c r="Z67" s="229">
        <v>7</v>
      </c>
      <c r="AA67" s="218"/>
      <c r="AB67" s="224">
        <f>SUM(T68:AA68)</f>
        <v>23</v>
      </c>
      <c r="AC67" s="217">
        <v>5</v>
      </c>
      <c r="AD67" s="218"/>
      <c r="AE67" s="220">
        <v>6</v>
      </c>
      <c r="AF67" s="218"/>
      <c r="AG67" s="224">
        <f>SUM(AC68:AF68)</f>
        <v>21</v>
      </c>
      <c r="AH67" s="228">
        <v>6</v>
      </c>
      <c r="AI67" s="225"/>
      <c r="AJ67" s="224">
        <f>AH68</f>
        <v>3</v>
      </c>
      <c r="AK67" s="226">
        <f>MAX($AL$11:$AL$98) - AL67</f>
        <v>51</v>
      </c>
      <c r="AL67" s="224">
        <f>$S67+$AB67+$AG67+$AJ67</f>
        <v>86</v>
      </c>
    </row>
    <row r="68" spans="1:38" s="27" customFormat="1" hidden="1" x14ac:dyDescent="0.2">
      <c r="A68" s="113" t="e">
        <f>RANK(AL68,$AL$11:$AL$98,)</f>
        <v>#N/A</v>
      </c>
      <c r="B68" s="95"/>
      <c r="C68" s="122">
        <f>(IF($C67&lt;&gt;"",($C$7*$O$105)+IF($C$7=4,($O$103)+IF($C67=$C$7+$D$7,$O$104,0),0),0)+IF($D67&lt;&gt;"",($D$7*$O$105)+IF($D$7=4,($O$103)+IF($D67=$C$7+$D$7,$O$104,0),0),0))</f>
        <v>0</v>
      </c>
      <c r="D68" s="123"/>
      <c r="E68" s="121">
        <f>(IF($E67&lt;&gt;"",($E$7*$O$105)+IF($E$7=4,($O$103)+IF($E67=$E$7+$F$7,$O$104,0),0),0)+IF($F67&lt;&gt;"",($F$7*$O$105)+IF($F$7=4,($O$103)+IF($F67=$E$7+$F$7,$O$104,0),0),0))</f>
        <v>11</v>
      </c>
      <c r="F68" s="123"/>
      <c r="G68" s="121">
        <f>(IF($G67&lt;&gt;"",($G$7*$O$105)+IF($G$7=4,($O$103)+IF($G67=$G$7+$H$7,$O$104,0),0),0)+IF($H67&lt;&gt;"",($H$7*$O$105)+IF($H$7=4,($O$103)+IF($H67=$G$7+$H$7,$O$104,0),0),0))</f>
        <v>3</v>
      </c>
      <c r="H68" s="123"/>
      <c r="I68" s="124">
        <f>(IF($I67&lt;&gt;"",($I$7*$O$105)+IF($I$7=4,($O$103)+IF($I67=$I$7+$J$7,$O$104,0),0),0)+IF($J67&lt;&gt;"",($J$7*$O$105)+IF($J$7=4,($O$103)+IF($J67=$I$7+$J$7,$O$104,0),0),0))</f>
        <v>9</v>
      </c>
      <c r="J68" s="125"/>
      <c r="K68" s="126">
        <f>(IF($K67&lt;&gt;"",($K$7*$O$105)+IF($K$7=4,($O$103)+IF($K67=$K$7+$L$7,$O$104,0),0),0)+IF($L67&lt;&gt;"",($L$7*$O$105)+IF($L$7=4,($O$103)+IF($L67=$K$7+$L$7,$O$104,0),0),0))</f>
        <v>1</v>
      </c>
      <c r="L68" s="123"/>
      <c r="M68" s="121">
        <f>(IF($M67&lt;&gt;"",($M$7*$O$105)+IF($M$7=4,($O$103)+IF($M67=$M$7+$N$7,$O$104,0),0),0)+IF($N67&lt;&gt;"",($N$7*$O$105)+IF($N$7=4,($O$103)+IF($N67=$M$7+$N$7,$O$104,0),0),0))</f>
        <v>2</v>
      </c>
      <c r="N68" s="123"/>
      <c r="O68" s="124">
        <f>(IF($O67&lt;&gt;"",($O$7*$O$105)+IF($O$7=4,($O$103)+IF($O67=$O$7+$P$7,$O$104,0),0),0)+IF($P67&lt;&gt;"",($P$7*$O$105)+IF($P$7=4,($O$103)+IF($P67=$O$7+$P$7,$O$104,0),0),0))</f>
        <v>2</v>
      </c>
      <c r="P68" s="123"/>
      <c r="Q68" s="124">
        <f>(IF($Q67&lt;&gt;"",($Q$7*$O$105)+IF($Q$7=4,($O$103)+IF($Q67=$Q$7+$R$7,$O$104,0),0),0)+IF($R67&lt;&gt;"",($R$7*$O$105)+IF($R$7=4,($O$103)+IF($R67=$Q$7+$R$7,$O$104,0),0),0))</f>
        <v>11</v>
      </c>
      <c r="R68" s="127"/>
      <c r="S68" s="117"/>
      <c r="T68" s="122">
        <f>(IF($T67&lt;&gt;"",($T$7*$P$105)+IF($T$7=4,($P$103)+IF($T67=$T$7+$U$7,$P$104,0),0),0)+IF($U67&lt;&gt;"",($U$7*$P$105)+IF($U$7=4,($P$103)+IF($U67=$T$7+$U$7,$P$104,0),0),0))</f>
        <v>2</v>
      </c>
      <c r="U68" s="122"/>
      <c r="V68" s="122">
        <f>(IF($V67&lt;&gt;"",($V$7*$P$105)+IF($V$7=4,($P$103)+IF($V67=$V$7+$W$7,$P$104,0),0),0)+IF($W67&lt;&gt;"",($W$7*$P$105)+IF($W$7=4,($P$103)+IF($W67=$V$7+$W$7,$P$104,0),0),0))</f>
        <v>0</v>
      </c>
      <c r="W68" s="122"/>
      <c r="X68" s="122">
        <f>(IF($X67&lt;&gt;"",($X$7*$P$105)+IF($X$7=4,($P$103)+IF($X67=$X$7+$Y$7,$P$104,0),0),0)+IF($Y67&lt;&gt;"",($Y$7*$P$105)+IF($Y$7=4,($P$103)+IF($Y67=$X$7+$Y$7,$P$104,0),0),0))</f>
        <v>3</v>
      </c>
      <c r="Y68" s="59"/>
      <c r="Z68" s="122">
        <f>(IF($Z67&lt;&gt;"",($Z$7*$P$105)+IF($Z$7=4,($P$103)+IF($Z67=$Z$7+$AA$7,$P$104,0),0),0)+IF($AA67&lt;&gt;"",($AA$7*$P$105)+IF($AA$7=4,($P$103)+IF($AA67=$Z$7+$AA$7,$P$104,0),0),0))</f>
        <v>18</v>
      </c>
      <c r="AA68" s="60"/>
      <c r="AB68" s="117"/>
      <c r="AC68" s="122">
        <f>(IF($AC67&lt;&gt;"",($AC$7*$Q$105)+IF($AC$7=4,($Q$103)+IF($AC67=$AC$7+$AD$7,$Q$104,0),0),0)+IF($AD67&lt;&gt;"",($AD$7*$Q$105)+IF($AD$7=4,($Q$103)+IF($AD67=$AC$7+$AD$7,$Q$104,0),0),0))</f>
        <v>19</v>
      </c>
      <c r="AD68" s="122"/>
      <c r="AE68" s="122">
        <f>(IF($AE67&lt;&gt;"",($AE$7*$Q$105)+IF($AE$7=4,($Q$103)+IF($AE67=$AE$7+$AF$7,$Q$104,0),0),0)+IF($AF67&lt;&gt;"",($AF$7*$Q$105)+IF($AF$7=4,($Q$103)+IF($AF67=$AE$7+$AF$7,$Q$104,0),0),0))</f>
        <v>2</v>
      </c>
      <c r="AF68" s="82"/>
      <c r="AG68" s="117"/>
      <c r="AH68" s="122">
        <f>(IF($AH67&lt;&gt;"",($AH$7*$Q$105)+IF($AH$7=4,($R$103)+IF($AH67=$AH$7+$AI$7,$R$104,0),0),0)+IF($AI67&lt;&gt;"",($AI$7*$R$105)+IF($AI$7=4,($R$103)+IF($AI67=$AH$7+$AI$7,$R$104,0),0),0))</f>
        <v>3</v>
      </c>
      <c r="AI68" s="128"/>
      <c r="AJ68" s="117"/>
      <c r="AK68" s="106"/>
      <c r="AL68" s="117"/>
    </row>
    <row r="69" spans="1:38" s="27" customFormat="1" hidden="1" x14ac:dyDescent="0.2">
      <c r="A69" s="96"/>
      <c r="B69" s="120" t="s">
        <v>52</v>
      </c>
      <c r="C69" s="114">
        <f>IF(ISBLANK(C67),
0,
IF(C$7= 4, 1, 0))</f>
        <v>0</v>
      </c>
      <c r="D69" s="114">
        <f>IF(ISBLANK(D67),
0,
IF(D$7 = 4, 1, 0))</f>
        <v>0</v>
      </c>
      <c r="E69" s="114">
        <f>IF(ISBLANK(E67),
0,
IF(E$7= 4, 1, 0))</f>
        <v>1</v>
      </c>
      <c r="F69" s="114">
        <f>IF(ISBLANK(F67),
0,
IF(F$7 = 4, 1, 0))</f>
        <v>0</v>
      </c>
      <c r="G69" s="114">
        <f>IF(ISBLANK(G67),
0,
IF(G$7= 4, 1, 0))</f>
        <v>0</v>
      </c>
      <c r="H69" s="114">
        <f>IF(ISBLANK(H67),
0,
IF(H$7 = 4, 1, 0))</f>
        <v>0</v>
      </c>
      <c r="I69" s="114">
        <f>IF(ISBLANK(I67),
0,
IF(I$7= 4, 1, 0))</f>
        <v>1</v>
      </c>
      <c r="J69" s="114">
        <f>IF(ISBLANK(J67),
0,
IF(J$7 = 4, 1, 0))</f>
        <v>0</v>
      </c>
      <c r="K69" s="114">
        <f>IF(ISBLANK(K67),
0,
IF(K$7= 4, 1, 0))</f>
        <v>0</v>
      </c>
      <c r="L69" s="114">
        <f>IF(ISBLANK(L67),
0,
IF(L$7 = 4, 1, 0))</f>
        <v>0</v>
      </c>
      <c r="M69" s="114">
        <f>IF(ISBLANK(M67),
0,
IF(M$7= 4, 1, 0))</f>
        <v>0</v>
      </c>
      <c r="N69" s="114">
        <f>IF(ISBLANK(N67),
0,
IF(N$7 = 4, 1, 0))</f>
        <v>0</v>
      </c>
      <c r="O69" s="114">
        <f>IF(ISBLANK(O67),
0,
IF(O$7= 4, 1, 0))</f>
        <v>0</v>
      </c>
      <c r="P69" s="114">
        <f>IF(ISBLANK(P67),
0,
IF(P$7 = 4, 1, 0))</f>
        <v>0</v>
      </c>
      <c r="Q69" s="114">
        <f>IF(ISBLANK(Q67),
0,
IF(Q$7= 4, 1, 0))</f>
        <v>1</v>
      </c>
      <c r="R69" s="114">
        <f>IF(ISBLANK(R67),
0,
IF(R$7 = 4, 1, 0))</f>
        <v>0</v>
      </c>
      <c r="S69" s="130"/>
      <c r="T69" s="114">
        <f>IF(ISBLANK(T67),
0,
IF(T$7= 4, 1, 0))</f>
        <v>0</v>
      </c>
      <c r="U69" s="114">
        <f>IF(ISBLANK(U67),
0,
IF(U$7 = 4, 1, 0))</f>
        <v>0</v>
      </c>
      <c r="V69" s="114">
        <f>IF(ISBLANK(V67),
0,
IF(V$7= 4, 1, 0))</f>
        <v>0</v>
      </c>
      <c r="W69" s="114">
        <f>IF(ISBLANK(W67),
0,
IF(W$7 = 4, 1, 0))</f>
        <v>0</v>
      </c>
      <c r="X69" s="114">
        <f>IF(ISBLANK(X67),
0,
IF(X$7= 4, 1, 0))</f>
        <v>0</v>
      </c>
      <c r="Y69" s="114">
        <f>IF(ISBLANK(Y67),
0,
IF(Y$7 = 4, 1, 0))</f>
        <v>0</v>
      </c>
      <c r="Z69" s="114">
        <f>IF(ISBLANK(Z67),
0,
IF(Z$7= 4, 1, 0))</f>
        <v>1</v>
      </c>
      <c r="AA69" s="114">
        <f>IF(ISBLANK(AA67),
0,
IF(AA$7 = 4, 1, 0))</f>
        <v>0</v>
      </c>
      <c r="AB69" s="130"/>
      <c r="AC69" s="114">
        <f>IF(ISBLANK(AC67),
0,
IF(AC$7= 4, 1, 0))</f>
        <v>1</v>
      </c>
      <c r="AD69" s="114">
        <f>IF(ISBLANK(AD67),
0,
IF(AD$7 = 4, 1, 0))</f>
        <v>0</v>
      </c>
      <c r="AE69" s="114">
        <f>IF(ISBLANK(AE67),
0,
IF(AE$7= 4, 1, 0))</f>
        <v>0</v>
      </c>
      <c r="AF69" s="114">
        <f>IF(ISBLANK(AF67),
0,
IF(AF$7 = 4, 1, 0))</f>
        <v>0</v>
      </c>
      <c r="AG69" s="130"/>
      <c r="AH69" s="114">
        <f>IF(ISBLANK(AH67),
0,
IF(AH$7= 4, 1, 0))</f>
        <v>0</v>
      </c>
      <c r="AI69" s="114">
        <f>IF(ISBLANK(AI67),
0,
IF(AI$7 = 4, 1, 0))</f>
        <v>0</v>
      </c>
      <c r="AJ69" s="130"/>
      <c r="AK69" s="131">
        <f>SUM(C69:AI69)</f>
        <v>5</v>
      </c>
      <c r="AL69" s="119"/>
    </row>
    <row r="70" spans="1:38" s="27" customFormat="1" hidden="1" x14ac:dyDescent="0.2">
      <c r="A70" s="96"/>
      <c r="B70" s="120" t="s">
        <v>53</v>
      </c>
      <c r="C70" s="114">
        <f>IF(C69 = 0,
0,
IF(C67 = (C$7+D$7),1,0))</f>
        <v>0</v>
      </c>
      <c r="D70" s="114">
        <f>IF(D69 = 0,
0,
IF(D67 = (C$7+D$7),1,0))</f>
        <v>0</v>
      </c>
      <c r="E70" s="114">
        <f>IF(E69 = 0,
0,
IF(E67 = (E$7+F$7),1,0))</f>
        <v>1</v>
      </c>
      <c r="F70" s="114">
        <f>IF(F69 = 0,
0,
IF(F67 = (E$7+F$7),1,0))</f>
        <v>0</v>
      </c>
      <c r="G70" s="114">
        <f>IF(G69 = 0,
0,
IF(G67 = (G$7+H$7),1,0))</f>
        <v>0</v>
      </c>
      <c r="H70" s="114">
        <f>IF(H69 = 0,
0,
IF(H67 = (G$7+H$7),1,0))</f>
        <v>0</v>
      </c>
      <c r="I70" s="114">
        <f>IF(I69 = 0,
0,
IF(I67 = (I$7+J$7),1,0))</f>
        <v>0</v>
      </c>
      <c r="J70" s="114">
        <f>IF(J69 = 0,
0,
IF(J67 = (I$7+J$7),1,0))</f>
        <v>0</v>
      </c>
      <c r="K70" s="114">
        <f>IF(K69 = 0,
0,
IF(K67 = (K$7+L$7),1,0))</f>
        <v>0</v>
      </c>
      <c r="L70" s="114">
        <f>IF(L69 = 0,
0,
IF(L67 = (K$7+L$7),1,0))</f>
        <v>0</v>
      </c>
      <c r="M70" s="114">
        <f>IF(M69 = 0,
0,
IF(M67 = (M$7+N$7),1,0))</f>
        <v>0</v>
      </c>
      <c r="N70" s="114">
        <f>IF(N69 = 0,
0,
IF(N67 = (M$7+N$7),1,0))</f>
        <v>0</v>
      </c>
      <c r="O70" s="114">
        <f>IF(O69 = 0,
0,
IF(O67 = (O$7+P$7),1,0))</f>
        <v>0</v>
      </c>
      <c r="P70" s="114">
        <f>IF(P69 = 0,
0,
IF(P67 = (O$7+P$7),1,0))</f>
        <v>0</v>
      </c>
      <c r="Q70" s="114">
        <f>IF(Q69 = 0,
0,
IF(Q67 = (Q$7+R$7),1,0))</f>
        <v>1</v>
      </c>
      <c r="R70" s="114">
        <f>IF(R69 = 0,
0,
IF(R67 = (Q$7+R$7),1,0))</f>
        <v>0</v>
      </c>
      <c r="S70" s="130"/>
      <c r="T70" s="114">
        <f>IF(T69 = 0,
0,
IF(T67 = (T$7+U$7),1,0))</f>
        <v>0</v>
      </c>
      <c r="U70" s="114">
        <f>IF(U69 = 0,
0,
IF(U67 = (T$7+U$7),1,0))</f>
        <v>0</v>
      </c>
      <c r="V70" s="114">
        <f>IF(V69 = 0,
0,
IF(V67 = (V$7+W$7),1,0))</f>
        <v>0</v>
      </c>
      <c r="W70" s="114">
        <f>IF(W69 = 0,
0,
IF(W67 = (V$7+W$7),1,0))</f>
        <v>0</v>
      </c>
      <c r="X70" s="114">
        <f>IF(X69 = 0,
0,
IF(X67 = (X$7+Y$7),1,0))</f>
        <v>0</v>
      </c>
      <c r="Y70" s="114">
        <f>IF(Y69 = 0,
0,
IF(Y67 = (X$7+Y$7),1,0))</f>
        <v>0</v>
      </c>
      <c r="Z70" s="114">
        <f>IF(Z69 = 0,
0,
IF(Z67 = (Z$7+AA$7),1,0))</f>
        <v>1</v>
      </c>
      <c r="AA70" s="114">
        <f>IF(AA69 = 0,
0,
IF(AA67 = (Z$7+AA$7),1,0))</f>
        <v>0</v>
      </c>
      <c r="AB70" s="130"/>
      <c r="AC70" s="114">
        <f>IF(AC69 = 0,
0,
IF(AC67 = (AC$7+AD$7),1,0))</f>
        <v>0</v>
      </c>
      <c r="AD70" s="114">
        <f>IF(AD69 = 0,
0,
IF(AD67 = (AC$7+AD$7),1,0))</f>
        <v>0</v>
      </c>
      <c r="AE70" s="114">
        <f>IF(AE69 = 0,
0,
IF(AE67 = (AE$7+AF$7),1,0))</f>
        <v>0</v>
      </c>
      <c r="AF70" s="114">
        <f>IF(AF69 = 0,
0,
IF(AF67 = (AE$7+AF$7),1,0))</f>
        <v>0</v>
      </c>
      <c r="AG70" s="130"/>
      <c r="AH70" s="114">
        <f>IF(AH69 = 0,
0,
IF(AH67 = (AH$7+AI$7),1,0))</f>
        <v>0</v>
      </c>
      <c r="AI70" s="114">
        <f>IF(AI69 = 0,
0,
IF(AI67 = (AH$7+AI$7),1,0))</f>
        <v>0</v>
      </c>
      <c r="AJ70" s="130"/>
      <c r="AK70" s="131">
        <f>SUM(C70:AI70)</f>
        <v>3</v>
      </c>
      <c r="AL70" s="119"/>
    </row>
    <row r="71" spans="1:38" s="27" customFormat="1" ht="12.75" customHeight="1" x14ac:dyDescent="0.2">
      <c r="A71" s="113">
        <f>RANK(AL71,$AL$11:$AL$98,)</f>
        <v>15</v>
      </c>
      <c r="B71" s="81" t="s">
        <v>81</v>
      </c>
      <c r="C71" s="46">
        <v>6</v>
      </c>
      <c r="D71" s="45"/>
      <c r="E71" s="197">
        <v>7</v>
      </c>
      <c r="F71" s="45"/>
      <c r="G71" s="48">
        <v>5</v>
      </c>
      <c r="H71" s="47"/>
      <c r="I71" s="44"/>
      <c r="J71" s="47">
        <v>5</v>
      </c>
      <c r="K71" s="49">
        <v>7</v>
      </c>
      <c r="L71" s="47"/>
      <c r="M71" s="44">
        <v>6</v>
      </c>
      <c r="N71" s="45"/>
      <c r="O71" s="44">
        <v>7</v>
      </c>
      <c r="P71" s="45"/>
      <c r="Q71" s="48">
        <v>5</v>
      </c>
      <c r="R71" s="50"/>
      <c r="S71" s="118">
        <f>SUM(C72:R72)</f>
        <v>28</v>
      </c>
      <c r="T71" s="46"/>
      <c r="U71" s="47">
        <v>6</v>
      </c>
      <c r="V71" s="44">
        <v>5</v>
      </c>
      <c r="W71" s="47"/>
      <c r="X71" s="49">
        <v>4</v>
      </c>
      <c r="Y71" s="45"/>
      <c r="Z71" s="200">
        <v>7</v>
      </c>
      <c r="AA71" s="47"/>
      <c r="AB71" s="118">
        <f>SUM(T72:AA72)</f>
        <v>34</v>
      </c>
      <c r="AC71" s="48">
        <v>5</v>
      </c>
      <c r="AD71" s="47"/>
      <c r="AE71" s="49">
        <v>6</v>
      </c>
      <c r="AF71" s="47"/>
      <c r="AG71" s="118">
        <f>SUM(AC72:AF72)</f>
        <v>21</v>
      </c>
      <c r="AH71" s="97">
        <v>5</v>
      </c>
      <c r="AI71" s="58"/>
      <c r="AJ71" s="118">
        <f>AH72</f>
        <v>3</v>
      </c>
      <c r="AK71" s="107">
        <f>MAX($AL$11:$AL$98) - AL71</f>
        <v>51</v>
      </c>
      <c r="AL71" s="118">
        <f>$S71+$AB71+$AG71+$AJ71</f>
        <v>86</v>
      </c>
    </row>
    <row r="72" spans="1:38" s="27" customFormat="1" hidden="1" x14ac:dyDescent="0.2">
      <c r="A72" s="113" t="e">
        <f>RANK(AL72,$AL$11:$AL$98,)</f>
        <v>#N/A</v>
      </c>
      <c r="B72" s="95"/>
      <c r="C72" s="122">
        <f>(IF($C71&lt;&gt;"",($C$7*$O$105)+IF($C$7=4,($O$103)+IF($C71=$C$7+$D$7,$O$104,0),0),0)+IF($D71&lt;&gt;"",($D$7*$O$105)+IF($D$7=4,($O$103)+IF($D71=$C$7+$D$7,$O$104,0),0),0))</f>
        <v>0</v>
      </c>
      <c r="D72" s="123"/>
      <c r="E72" s="121">
        <f>(IF($E71&lt;&gt;"",($E$7*$O$105)+IF($E$7=4,($O$103)+IF($E71=$E$7+$F$7,$O$104,0),0),0)+IF($F71&lt;&gt;"",($F$7*$O$105)+IF($F$7=4,($O$103)+IF($F71=$E$7+$F$7,$O$104,0),0),0))</f>
        <v>11</v>
      </c>
      <c r="F72" s="123"/>
      <c r="G72" s="121">
        <f>(IF($G71&lt;&gt;"",($G$7*$O$105)+IF($G$7=4,($O$103)+IF($G71=$G$7+$H$7,$O$104,0),0),0)+IF($H71&lt;&gt;"",($H$7*$O$105)+IF($H$7=4,($O$103)+IF($H71=$G$7+$H$7,$O$104,0),0),0))</f>
        <v>3</v>
      </c>
      <c r="H72" s="123"/>
      <c r="I72" s="124">
        <f>(IF($I71&lt;&gt;"",($I$7*$O$105)+IF($I$7=4,($O$103)+IF($I71=$I$7+$J$7,$O$104,0),0),0)+IF($J71&lt;&gt;"",($J$7*$O$105)+IF($J$7=4,($O$103)+IF($J71=$I$7+$J$7,$O$104,0),0),0))</f>
        <v>0</v>
      </c>
      <c r="J72" s="125"/>
      <c r="K72" s="126">
        <f>(IF($K71&lt;&gt;"",($K$7*$O$105)+IF($K$7=4,($O$103)+IF($K71=$K$7+$L$7,$O$104,0),0),0)+IF($L71&lt;&gt;"",($L$7*$O$105)+IF($L$7=4,($O$103)+IF($L71=$K$7+$L$7,$O$104,0),0),0))</f>
        <v>1</v>
      </c>
      <c r="L72" s="123"/>
      <c r="M72" s="121">
        <f>(IF($M71&lt;&gt;"",($M$7*$O$105)+IF($M$7=4,($O$103)+IF($M71=$M$7+$N$7,$O$104,0),0),0)+IF($N71&lt;&gt;"",($N$7*$O$105)+IF($N$7=4,($O$103)+IF($N71=$M$7+$N$7,$O$104,0),0),0))</f>
        <v>2</v>
      </c>
      <c r="N72" s="123"/>
      <c r="O72" s="124">
        <f>(IF($O71&lt;&gt;"",($O$7*$O$105)+IF($O$7=4,($O$103)+IF($O71=$O$7+$P$7,$O$104,0),0),0)+IF($P71&lt;&gt;"",($P$7*$O$105)+IF($P$7=4,($O$103)+IF($P71=$O$7+$P$7,$O$104,0),0),0))</f>
        <v>2</v>
      </c>
      <c r="P72" s="123"/>
      <c r="Q72" s="124">
        <f>(IF($Q71&lt;&gt;"",($Q$7*$O$105)+IF($Q$7=4,($O$103)+IF($Q71=$Q$7+$R$7,$O$104,0),0),0)+IF($R71&lt;&gt;"",($R$7*$O$105)+IF($R$7=4,($O$103)+IF($R71=$Q$7+$R$7,$O$104,0),0),0))</f>
        <v>9</v>
      </c>
      <c r="R72" s="127"/>
      <c r="S72" s="117"/>
      <c r="T72" s="122">
        <f>(IF($T71&lt;&gt;"",($T$7*$P$105)+IF($T$7=4,($P$103)+IF($T71=$T$7+$U$7,$P$104,0),0),0)+IF($U71&lt;&gt;"",($U$7*$P$105)+IF($U$7=4,($P$103)+IF($U71=$T$7+$U$7,$P$104,0),0),0))</f>
        <v>2</v>
      </c>
      <c r="U72" s="122"/>
      <c r="V72" s="122">
        <f>(IF($V71&lt;&gt;"",($V$7*$P$105)+IF($V$7=4,($P$103)+IF($V71=$V$7+$W$7,$P$104,0),0),0)+IF($W71&lt;&gt;"",($W$7*$P$105)+IF($W$7=4,($P$103)+IF($W71=$V$7+$W$7,$P$104,0),0),0))</f>
        <v>0</v>
      </c>
      <c r="W72" s="122"/>
      <c r="X72" s="122">
        <f>(IF($X71&lt;&gt;"",($X$7*$P$105)+IF($X$7=4,($P$103)+IF($X71=$X$7+$Y$7,$P$104,0),0),0)+IF($Y71&lt;&gt;"",($Y$7*$P$105)+IF($Y$7=4,($P$103)+IF($Y71=$X$7+$Y$7,$P$104,0),0),0))</f>
        <v>14</v>
      </c>
      <c r="Y72" s="59"/>
      <c r="Z72" s="122">
        <f>(IF($Z71&lt;&gt;"",($Z$7*$P$105)+IF($Z$7=4,($P$103)+IF($Z71=$Z$7+$AA$7,$P$104,0),0),0)+IF($AA71&lt;&gt;"",($AA$7*$P$105)+IF($AA$7=4,($P$103)+IF($AA71=$Z$7+$AA$7,$P$104,0),0),0))</f>
        <v>18</v>
      </c>
      <c r="AA72" s="60"/>
      <c r="AB72" s="117"/>
      <c r="AC72" s="122">
        <f>(IF($AC71&lt;&gt;"",($AC$7*$Q$105)+IF($AC$7=4,($Q$103)+IF($AC71=$AC$7+$AD$7,$Q$104,0),0),0)+IF($AD71&lt;&gt;"",($AD$7*$Q$105)+IF($AD$7=4,($Q$103)+IF($AD71=$AC$7+$AD$7,$Q$104,0),0),0))</f>
        <v>19</v>
      </c>
      <c r="AD72" s="122"/>
      <c r="AE72" s="122">
        <f>(IF($AE71&lt;&gt;"",($AE$7*$Q$105)+IF($AE$7=4,($Q$103)+IF($AE71=$AE$7+$AF$7,$Q$104,0),0),0)+IF($AF71&lt;&gt;"",($AF$7*$Q$105)+IF($AF$7=4,($Q$103)+IF($AF71=$AE$7+$AF$7,$Q$104,0),0),0))</f>
        <v>2</v>
      </c>
      <c r="AF72" s="82"/>
      <c r="AG72" s="117"/>
      <c r="AH72" s="122">
        <f>(IF($AH71&lt;&gt;"",($AH$7*$Q$105)+IF($AH$7=4,($R$103)+IF($AH71=$AH$7+$AI$7,$R$104,0),0),0)+IF($AI71&lt;&gt;"",($AI$7*$R$105)+IF($AI$7=4,($R$103)+IF($AI71=$AH$7+$AI$7,$R$104,0),0),0))</f>
        <v>3</v>
      </c>
      <c r="AI72" s="128"/>
      <c r="AJ72" s="117"/>
      <c r="AK72" s="106"/>
      <c r="AL72" s="117"/>
    </row>
    <row r="73" spans="1:38" s="27" customFormat="1" hidden="1" x14ac:dyDescent="0.2">
      <c r="A73" s="96"/>
      <c r="B73" s="120" t="s">
        <v>52</v>
      </c>
      <c r="C73" s="114">
        <f>IF(ISBLANK(C71),
0,
IF(C$7= 4, 1, 0))</f>
        <v>0</v>
      </c>
      <c r="D73" s="114">
        <f>IF(ISBLANK(D71),
0,
IF(D$7 = 4, 1, 0))</f>
        <v>0</v>
      </c>
      <c r="E73" s="114">
        <f>IF(ISBLANK(E71),
0,
IF(E$7= 4, 1, 0))</f>
        <v>1</v>
      </c>
      <c r="F73" s="114">
        <f>IF(ISBLANK(F71),
0,
IF(F$7 = 4, 1, 0))</f>
        <v>0</v>
      </c>
      <c r="G73" s="114">
        <f>IF(ISBLANK(G71),
0,
IF(G$7= 4, 1, 0))</f>
        <v>0</v>
      </c>
      <c r="H73" s="114">
        <f>IF(ISBLANK(H71),
0,
IF(H$7 = 4, 1, 0))</f>
        <v>0</v>
      </c>
      <c r="I73" s="114">
        <f>IF(ISBLANK(I71),
0,
IF(I$7= 4, 1, 0))</f>
        <v>0</v>
      </c>
      <c r="J73" s="114">
        <f>IF(ISBLANK(J71),
0,
IF(J$7 = 4, 1, 0))</f>
        <v>0</v>
      </c>
      <c r="K73" s="114">
        <f>IF(ISBLANK(K71),
0,
IF(K$7= 4, 1, 0))</f>
        <v>0</v>
      </c>
      <c r="L73" s="114">
        <f>IF(ISBLANK(L71),
0,
IF(L$7 = 4, 1, 0))</f>
        <v>0</v>
      </c>
      <c r="M73" s="114">
        <f>IF(ISBLANK(M71),
0,
IF(M$7= 4, 1, 0))</f>
        <v>0</v>
      </c>
      <c r="N73" s="114">
        <f>IF(ISBLANK(N71),
0,
IF(N$7 = 4, 1, 0))</f>
        <v>0</v>
      </c>
      <c r="O73" s="114">
        <f>IF(ISBLANK(O71),
0,
IF(O$7= 4, 1, 0))</f>
        <v>0</v>
      </c>
      <c r="P73" s="114">
        <f>IF(ISBLANK(P71),
0,
IF(P$7 = 4, 1, 0))</f>
        <v>0</v>
      </c>
      <c r="Q73" s="114">
        <f>IF(ISBLANK(Q71),
0,
IF(Q$7= 4, 1, 0))</f>
        <v>1</v>
      </c>
      <c r="R73" s="114">
        <f>IF(ISBLANK(R71),
0,
IF(R$7 = 4, 1, 0))</f>
        <v>0</v>
      </c>
      <c r="S73" s="130"/>
      <c r="T73" s="114">
        <f>IF(ISBLANK(T71),
0,
IF(T$7= 4, 1, 0))</f>
        <v>0</v>
      </c>
      <c r="U73" s="114">
        <f>IF(ISBLANK(U71),
0,
IF(U$7 = 4, 1, 0))</f>
        <v>0</v>
      </c>
      <c r="V73" s="114">
        <f>IF(ISBLANK(V71),
0,
IF(V$7= 4, 1, 0))</f>
        <v>0</v>
      </c>
      <c r="W73" s="114">
        <f>IF(ISBLANK(W71),
0,
IF(W$7 = 4, 1, 0))</f>
        <v>0</v>
      </c>
      <c r="X73" s="114">
        <f>IF(ISBLANK(X71),
0,
IF(X$7= 4, 1, 0))</f>
        <v>1</v>
      </c>
      <c r="Y73" s="114">
        <f>IF(ISBLANK(Y71),
0,
IF(Y$7 = 4, 1, 0))</f>
        <v>0</v>
      </c>
      <c r="Z73" s="114">
        <f>IF(ISBLANK(Z71),
0,
IF(Z$7= 4, 1, 0))</f>
        <v>1</v>
      </c>
      <c r="AA73" s="114">
        <f>IF(ISBLANK(AA71),
0,
IF(AA$7 = 4, 1, 0))</f>
        <v>0</v>
      </c>
      <c r="AB73" s="130"/>
      <c r="AC73" s="114">
        <f>IF(ISBLANK(AC71),
0,
IF(AC$7= 4, 1, 0))</f>
        <v>1</v>
      </c>
      <c r="AD73" s="114">
        <f>IF(ISBLANK(AD71),
0,
IF(AD$7 = 4, 1, 0))</f>
        <v>0</v>
      </c>
      <c r="AE73" s="114">
        <f>IF(ISBLANK(AE71),
0,
IF(AE$7= 4, 1, 0))</f>
        <v>0</v>
      </c>
      <c r="AF73" s="114">
        <f>IF(ISBLANK(AF71),
0,
IF(AF$7 = 4, 1, 0))</f>
        <v>0</v>
      </c>
      <c r="AG73" s="130"/>
      <c r="AH73" s="114">
        <f>IF(ISBLANK(AH71),
0,
IF(AH$7= 4, 1, 0))</f>
        <v>0</v>
      </c>
      <c r="AI73" s="114">
        <f>IF(ISBLANK(AI71),
0,
IF(AI$7 = 4, 1, 0))</f>
        <v>0</v>
      </c>
      <c r="AJ73" s="130"/>
      <c r="AK73" s="131">
        <f>SUM(C73:AI73)</f>
        <v>5</v>
      </c>
      <c r="AL73" s="119"/>
    </row>
    <row r="74" spans="1:38" s="27" customFormat="1" hidden="1" x14ac:dyDescent="0.2">
      <c r="A74" s="96"/>
      <c r="B74" s="120" t="s">
        <v>53</v>
      </c>
      <c r="C74" s="114">
        <f>IF(C73 = 0,
0,
IF(C71 = (C$7+D$7),1,0))</f>
        <v>0</v>
      </c>
      <c r="D74" s="114">
        <f>IF(D73 = 0,
0,
IF(D71 = (C$7+D$7),1,0))</f>
        <v>0</v>
      </c>
      <c r="E74" s="114">
        <f>IF(E73 = 0,
0,
IF(E71 = (E$7+F$7),1,0))</f>
        <v>1</v>
      </c>
      <c r="F74" s="114">
        <f>IF(F73 = 0,
0,
IF(F71 = (E$7+F$7),1,0))</f>
        <v>0</v>
      </c>
      <c r="G74" s="114">
        <f>IF(G73 = 0,
0,
IF(G71 = (G$7+H$7),1,0))</f>
        <v>0</v>
      </c>
      <c r="H74" s="114">
        <f>IF(H73 = 0,
0,
IF(H71 = (G$7+H$7),1,0))</f>
        <v>0</v>
      </c>
      <c r="I74" s="114">
        <f>IF(I73 = 0,
0,
IF(I71 = (I$7+J$7),1,0))</f>
        <v>0</v>
      </c>
      <c r="J74" s="114">
        <f>IF(J73 = 0,
0,
IF(J71 = (I$7+J$7),1,0))</f>
        <v>0</v>
      </c>
      <c r="K74" s="114">
        <f>IF(K73 = 0,
0,
IF(K71 = (K$7+L$7),1,0))</f>
        <v>0</v>
      </c>
      <c r="L74" s="114">
        <f>IF(L73 = 0,
0,
IF(L71 = (K$7+L$7),1,0))</f>
        <v>0</v>
      </c>
      <c r="M74" s="114">
        <f>IF(M73 = 0,
0,
IF(M71 = (M$7+N$7),1,0))</f>
        <v>0</v>
      </c>
      <c r="N74" s="114">
        <f>IF(N73 = 0,
0,
IF(N71 = (M$7+N$7),1,0))</f>
        <v>0</v>
      </c>
      <c r="O74" s="114">
        <f>IF(O73 = 0,
0,
IF(O71 = (O$7+P$7),1,0))</f>
        <v>0</v>
      </c>
      <c r="P74" s="114">
        <f>IF(P73 = 0,
0,
IF(P71 = (O$7+P$7),1,0))</f>
        <v>0</v>
      </c>
      <c r="Q74" s="114">
        <f>IF(Q73 = 0,
0,
IF(Q71 = (Q$7+R$7),1,0))</f>
        <v>0</v>
      </c>
      <c r="R74" s="114">
        <f>IF(R73 = 0,
0,
IF(R71 = (Q$7+R$7),1,0))</f>
        <v>0</v>
      </c>
      <c r="S74" s="130"/>
      <c r="T74" s="114">
        <f>IF(T73 = 0,
0,
IF(T71 = (T$7+U$7),1,0))</f>
        <v>0</v>
      </c>
      <c r="U74" s="114">
        <f>IF(U73 = 0,
0,
IF(U71 = (T$7+U$7),1,0))</f>
        <v>0</v>
      </c>
      <c r="V74" s="114">
        <f>IF(V73 = 0,
0,
IF(V71 = (V$7+W$7),1,0))</f>
        <v>0</v>
      </c>
      <c r="W74" s="114">
        <f>IF(W73 = 0,
0,
IF(W71 = (V$7+W$7),1,0))</f>
        <v>0</v>
      </c>
      <c r="X74" s="114">
        <f>IF(X73 = 0,
0,
IF(X71 = (X$7+Y$7),1,0))</f>
        <v>0</v>
      </c>
      <c r="Y74" s="114">
        <f>IF(Y73 = 0,
0,
IF(Y71 = (X$7+Y$7),1,0))</f>
        <v>0</v>
      </c>
      <c r="Z74" s="114">
        <f>IF(Z73 = 0,
0,
IF(Z71 = (Z$7+AA$7),1,0))</f>
        <v>1</v>
      </c>
      <c r="AA74" s="114">
        <f>IF(AA73 = 0,
0,
IF(AA71 = (Z$7+AA$7),1,0))</f>
        <v>0</v>
      </c>
      <c r="AB74" s="130"/>
      <c r="AC74" s="114">
        <f>IF(AC73 = 0,
0,
IF(AC71 = (AC$7+AD$7),1,0))</f>
        <v>0</v>
      </c>
      <c r="AD74" s="114">
        <f>IF(AD73 = 0,
0,
IF(AD71 = (AC$7+AD$7),1,0))</f>
        <v>0</v>
      </c>
      <c r="AE74" s="114">
        <f>IF(AE73 = 0,
0,
IF(AE71 = (AE$7+AF$7),1,0))</f>
        <v>0</v>
      </c>
      <c r="AF74" s="114">
        <f>IF(AF73 = 0,
0,
IF(AF71 = (AE$7+AF$7),1,0))</f>
        <v>0</v>
      </c>
      <c r="AG74" s="130"/>
      <c r="AH74" s="114">
        <f>IF(AH73 = 0,
0,
IF(AH71 = (AH$7+AI$7),1,0))</f>
        <v>0</v>
      </c>
      <c r="AI74" s="114">
        <f>IF(AI73 = 0,
0,
IF(AI71 = (AH$7+AI$7),1,0))</f>
        <v>0</v>
      </c>
      <c r="AJ74" s="130"/>
      <c r="AK74" s="131">
        <f>SUM(C74:AI74)</f>
        <v>2</v>
      </c>
      <c r="AL74" s="119"/>
    </row>
    <row r="75" spans="1:38" s="27" customFormat="1" ht="12.75" customHeight="1" x14ac:dyDescent="0.2">
      <c r="A75" s="201">
        <f>RANK(AL75,$AL$11:$AL$98,)</f>
        <v>17</v>
      </c>
      <c r="B75" s="202" t="s">
        <v>76</v>
      </c>
      <c r="C75" s="214">
        <v>5</v>
      </c>
      <c r="D75" s="215"/>
      <c r="E75" s="219"/>
      <c r="F75" s="215">
        <v>7</v>
      </c>
      <c r="G75" s="217">
        <v>6</v>
      </c>
      <c r="H75" s="218"/>
      <c r="I75" s="219"/>
      <c r="J75" s="218">
        <v>7</v>
      </c>
      <c r="K75" s="220">
        <v>5</v>
      </c>
      <c r="L75" s="218"/>
      <c r="M75" s="219">
        <v>6</v>
      </c>
      <c r="N75" s="215"/>
      <c r="O75" s="219">
        <v>7</v>
      </c>
      <c r="P75" s="215"/>
      <c r="Q75" s="217"/>
      <c r="R75" s="222">
        <v>7</v>
      </c>
      <c r="S75" s="224">
        <f>SUM(C76:R76)</f>
        <v>14</v>
      </c>
      <c r="T75" s="214"/>
      <c r="U75" s="218">
        <v>7</v>
      </c>
      <c r="V75" s="219">
        <v>7</v>
      </c>
      <c r="W75" s="218"/>
      <c r="X75" s="220">
        <v>6</v>
      </c>
      <c r="Y75" s="215"/>
      <c r="Z75" s="217">
        <v>6</v>
      </c>
      <c r="AA75" s="218"/>
      <c r="AB75" s="224">
        <f>SUM(T76:AA76)</f>
        <v>30</v>
      </c>
      <c r="AC75" s="217">
        <v>7</v>
      </c>
      <c r="AD75" s="218"/>
      <c r="AE75" s="220"/>
      <c r="AF75" s="218">
        <v>7</v>
      </c>
      <c r="AG75" s="224">
        <f>SUM(AC76:AF76)</f>
        <v>38</v>
      </c>
      <c r="AH75" s="228">
        <v>6</v>
      </c>
      <c r="AI75" s="225"/>
      <c r="AJ75" s="224">
        <f>AH76</f>
        <v>3</v>
      </c>
      <c r="AK75" s="226">
        <f>MAX($AL$11:$AL$98) - AL75</f>
        <v>52</v>
      </c>
      <c r="AL75" s="224">
        <f>$S75+$AB75+$AG75+$AJ75</f>
        <v>85</v>
      </c>
    </row>
    <row r="76" spans="1:38" s="27" customFormat="1" hidden="1" x14ac:dyDescent="0.2">
      <c r="A76" s="113" t="e">
        <f>RANK(AL76,$AL$11:$AL$98,)</f>
        <v>#N/A</v>
      </c>
      <c r="B76" s="95"/>
      <c r="C76" s="122">
        <f>(IF($C75&lt;&gt;"",($C$7*$O$105)+IF($C$7=4,($O$103)+IF($C75=$C$7+$D$7,$O$104,0),0),0)+IF($D75&lt;&gt;"",($D$7*$O$105)+IF($D$7=4,($O$103)+IF($D75=$C$7+$D$7,$O$104,0),0),0))</f>
        <v>0</v>
      </c>
      <c r="D76" s="123"/>
      <c r="E76" s="121">
        <f>(IF($E75&lt;&gt;"",($E$7*$O$105)+IF($E$7=4,($O$103)+IF($E75=$E$7+$F$7,$O$104,0),0),0)+IF($F75&lt;&gt;"",($F$7*$O$105)+IF($F$7=4,($O$103)+IF($F75=$E$7+$F$7,$O$104,0),0),0))</f>
        <v>3</v>
      </c>
      <c r="F76" s="123"/>
      <c r="G76" s="121">
        <f>(IF($G75&lt;&gt;"",($G$7*$O$105)+IF($G$7=4,($O$103)+IF($G75=$G$7+$H$7,$O$104,0),0),0)+IF($H75&lt;&gt;"",($H$7*$O$105)+IF($H$7=4,($O$103)+IF($H75=$G$7+$H$7,$O$104,0),0),0))</f>
        <v>3</v>
      </c>
      <c r="H76" s="123"/>
      <c r="I76" s="124">
        <f>(IF($I75&lt;&gt;"",($I$7*$O$105)+IF($I$7=4,($O$103)+IF($I75=$I$7+$J$7,$O$104,0),0),0)+IF($J75&lt;&gt;"",($J$7*$O$105)+IF($J$7=4,($O$103)+IF($J75=$I$7+$J$7,$O$104,0),0),0))</f>
        <v>0</v>
      </c>
      <c r="J76" s="125"/>
      <c r="K76" s="126">
        <f>(IF($K75&lt;&gt;"",($K$7*$O$105)+IF($K$7=4,($O$103)+IF($K75=$K$7+$L$7,$O$104,0),0),0)+IF($L75&lt;&gt;"",($L$7*$O$105)+IF($L$7=4,($O$103)+IF($L75=$K$7+$L$7,$O$104,0),0),0))</f>
        <v>1</v>
      </c>
      <c r="L76" s="123"/>
      <c r="M76" s="121">
        <f>(IF($M75&lt;&gt;"",($M$7*$O$105)+IF($M$7=4,($O$103)+IF($M75=$M$7+$N$7,$O$104,0),0),0)+IF($N75&lt;&gt;"",($N$7*$O$105)+IF($N$7=4,($O$103)+IF($N75=$M$7+$N$7,$O$104,0),0),0))</f>
        <v>2</v>
      </c>
      <c r="N76" s="123"/>
      <c r="O76" s="124">
        <f>(IF($O75&lt;&gt;"",($O$7*$O$105)+IF($O$7=4,($O$103)+IF($O75=$O$7+$P$7,$O$104,0),0),0)+IF($P75&lt;&gt;"",($P$7*$O$105)+IF($P$7=4,($O$103)+IF($P75=$O$7+$P$7,$O$104,0),0),0))</f>
        <v>2</v>
      </c>
      <c r="P76" s="123"/>
      <c r="Q76" s="124">
        <f>(IF($Q75&lt;&gt;"",($Q$7*$O$105)+IF($Q$7=4,($O$103)+IF($Q75=$Q$7+$R$7,$O$104,0),0),0)+IF($R75&lt;&gt;"",($R$7*$O$105)+IF($R$7=4,($O$103)+IF($R75=$Q$7+$R$7,$O$104,0),0),0))</f>
        <v>3</v>
      </c>
      <c r="R76" s="127"/>
      <c r="S76" s="117"/>
      <c r="T76" s="122">
        <f>(IF($T75&lt;&gt;"",($T$7*$P$105)+IF($T$7=4,($P$103)+IF($T75=$T$7+$U$7,$P$104,0),0),0)+IF($U75&lt;&gt;"",($U$7*$P$105)+IF($U$7=4,($P$103)+IF($U75=$T$7+$U$7,$P$104,0),0),0))</f>
        <v>2</v>
      </c>
      <c r="U76" s="122"/>
      <c r="V76" s="122">
        <f>(IF($V75&lt;&gt;"",($V$7*$P$105)+IF($V$7=4,($P$103)+IF($V75=$V$7+$W$7,$P$104,0),0),0)+IF($W75&lt;&gt;"",($W$7*$P$105)+IF($W$7=4,($P$103)+IF($W75=$V$7+$W$7,$P$104,0),0),0))</f>
        <v>0</v>
      </c>
      <c r="W76" s="122"/>
      <c r="X76" s="122">
        <f>(IF($X75&lt;&gt;"",($X$7*$P$105)+IF($X$7=4,($P$103)+IF($X75=$X$7+$Y$7,$P$104,0),0),0)+IF($Y75&lt;&gt;"",($Y$7*$P$105)+IF($Y$7=4,($P$103)+IF($Y75=$X$7+$Y$7,$P$104,0),0),0))</f>
        <v>14</v>
      </c>
      <c r="Y76" s="59"/>
      <c r="Z76" s="122">
        <f>(IF($Z75&lt;&gt;"",($Z$7*$P$105)+IF($Z$7=4,($P$103)+IF($Z75=$Z$7+$AA$7,$P$104,0),0),0)+IF($AA75&lt;&gt;"",($AA$7*$P$105)+IF($AA$7=4,($P$103)+IF($AA75=$Z$7+$AA$7,$P$104,0),0),0))</f>
        <v>14</v>
      </c>
      <c r="AA76" s="60"/>
      <c r="AB76" s="117"/>
      <c r="AC76" s="122">
        <f>(IF($AC75&lt;&gt;"",($AC$7*$Q$105)+IF($AC$7=4,($Q$103)+IF($AC75=$AC$7+$AD$7,$Q$104,0),0),0)+IF($AD75&lt;&gt;"",($AD$7*$Q$105)+IF($AD$7=4,($Q$103)+IF($AD75=$AC$7+$AD$7,$Q$104,0),0),0))</f>
        <v>19</v>
      </c>
      <c r="AD76" s="122"/>
      <c r="AE76" s="122">
        <f>(IF($AE75&lt;&gt;"",($AE$7*$Q$105)+IF($AE$7=4,($Q$103)+IF($AE75=$AE$7+$AF$7,$Q$104,0),0),0)+IF($AF75&lt;&gt;"",($AF$7*$Q$105)+IF($AF$7=4,($Q$103)+IF($AF75=$AE$7+$AF$7,$Q$104,0),0),0))</f>
        <v>19</v>
      </c>
      <c r="AF76" s="82"/>
      <c r="AG76" s="117"/>
      <c r="AH76" s="122">
        <f>(IF($AH75&lt;&gt;"",($AH$7*$Q$105)+IF($AH$7=4,($R$103)+IF($AH75=$AH$7+$AI$7,$R$104,0),0),0)+IF($AI75&lt;&gt;"",($AI$7*$R$105)+IF($AI$7=4,($R$103)+IF($AI75=$AH$7+$AI$7,$R$104,0),0),0))</f>
        <v>3</v>
      </c>
      <c r="AI76" s="128"/>
      <c r="AJ76" s="117"/>
      <c r="AK76" s="106"/>
      <c r="AL76" s="117"/>
    </row>
    <row r="77" spans="1:38" s="27" customFormat="1" hidden="1" x14ac:dyDescent="0.2">
      <c r="A77" s="96"/>
      <c r="B77" s="120" t="s">
        <v>52</v>
      </c>
      <c r="C77" s="114">
        <f>IF(ISBLANK(C75),
0,
IF(C$7= 4, 1, 0))</f>
        <v>0</v>
      </c>
      <c r="D77" s="114">
        <f>IF(ISBLANK(D75),
0,
IF(D$7 = 4, 1, 0))</f>
        <v>0</v>
      </c>
      <c r="E77" s="114">
        <f>IF(ISBLANK(E75),
0,
IF(E$7= 4, 1, 0))</f>
        <v>0</v>
      </c>
      <c r="F77" s="114">
        <f>IF(ISBLANK(F75),
0,
IF(F$7 = 4, 1, 0))</f>
        <v>0</v>
      </c>
      <c r="G77" s="114">
        <f>IF(ISBLANK(G75),
0,
IF(G$7= 4, 1, 0))</f>
        <v>0</v>
      </c>
      <c r="H77" s="114">
        <f>IF(ISBLANK(H75),
0,
IF(H$7 = 4, 1, 0))</f>
        <v>0</v>
      </c>
      <c r="I77" s="114">
        <f>IF(ISBLANK(I75),
0,
IF(I$7= 4, 1, 0))</f>
        <v>0</v>
      </c>
      <c r="J77" s="114">
        <f>IF(ISBLANK(J75),
0,
IF(J$7 = 4, 1, 0))</f>
        <v>0</v>
      </c>
      <c r="K77" s="114">
        <f>IF(ISBLANK(K75),
0,
IF(K$7= 4, 1, 0))</f>
        <v>0</v>
      </c>
      <c r="L77" s="114">
        <f>IF(ISBLANK(L75),
0,
IF(L$7 = 4, 1, 0))</f>
        <v>0</v>
      </c>
      <c r="M77" s="114">
        <f>IF(ISBLANK(M75),
0,
IF(M$7= 4, 1, 0))</f>
        <v>0</v>
      </c>
      <c r="N77" s="114">
        <f>IF(ISBLANK(N75),
0,
IF(N$7 = 4, 1, 0))</f>
        <v>0</v>
      </c>
      <c r="O77" s="114">
        <f>IF(ISBLANK(O75),
0,
IF(O$7= 4, 1, 0))</f>
        <v>0</v>
      </c>
      <c r="P77" s="114">
        <f>IF(ISBLANK(P75),
0,
IF(P$7 = 4, 1, 0))</f>
        <v>0</v>
      </c>
      <c r="Q77" s="114">
        <f>IF(ISBLANK(Q75),
0,
IF(Q$7= 4, 1, 0))</f>
        <v>0</v>
      </c>
      <c r="R77" s="114">
        <f>IF(ISBLANK(R75),
0,
IF(R$7 = 4, 1, 0))</f>
        <v>0</v>
      </c>
      <c r="S77" s="130"/>
      <c r="T77" s="114">
        <f>IF(ISBLANK(T75),
0,
IF(T$7= 4, 1, 0))</f>
        <v>0</v>
      </c>
      <c r="U77" s="114">
        <f>IF(ISBLANK(U75),
0,
IF(U$7 = 4, 1, 0))</f>
        <v>0</v>
      </c>
      <c r="V77" s="114">
        <f>IF(ISBLANK(V75),
0,
IF(V$7= 4, 1, 0))</f>
        <v>0</v>
      </c>
      <c r="W77" s="114">
        <f>IF(ISBLANK(W75),
0,
IF(W$7 = 4, 1, 0))</f>
        <v>0</v>
      </c>
      <c r="X77" s="114">
        <f>IF(ISBLANK(X75),
0,
IF(X$7= 4, 1, 0))</f>
        <v>1</v>
      </c>
      <c r="Y77" s="114">
        <f>IF(ISBLANK(Y75),
0,
IF(Y$7 = 4, 1, 0))</f>
        <v>0</v>
      </c>
      <c r="Z77" s="114">
        <f>IF(ISBLANK(Z75),
0,
IF(Z$7= 4, 1, 0))</f>
        <v>1</v>
      </c>
      <c r="AA77" s="114">
        <f>IF(ISBLANK(AA75),
0,
IF(AA$7 = 4, 1, 0))</f>
        <v>0</v>
      </c>
      <c r="AB77" s="130"/>
      <c r="AC77" s="114">
        <f>IF(ISBLANK(AC75),
0,
IF(AC$7= 4, 1, 0))</f>
        <v>1</v>
      </c>
      <c r="AD77" s="114">
        <f>IF(ISBLANK(AD75),
0,
IF(AD$7 = 4, 1, 0))</f>
        <v>0</v>
      </c>
      <c r="AE77" s="114">
        <f>IF(ISBLANK(AE75),
0,
IF(AE$7= 4, 1, 0))</f>
        <v>0</v>
      </c>
      <c r="AF77" s="114">
        <f>IF(ISBLANK(AF75),
0,
IF(AF$7 = 4, 1, 0))</f>
        <v>1</v>
      </c>
      <c r="AG77" s="130"/>
      <c r="AH77" s="114">
        <f>IF(ISBLANK(AH75),
0,
IF(AH$7= 4, 1, 0))</f>
        <v>0</v>
      </c>
      <c r="AI77" s="114">
        <f>IF(ISBLANK(AI75),
0,
IF(AI$7 = 4, 1, 0))</f>
        <v>0</v>
      </c>
      <c r="AJ77" s="130"/>
      <c r="AK77" s="131">
        <f>SUM(C77:AI77)</f>
        <v>4</v>
      </c>
      <c r="AL77" s="119"/>
    </row>
    <row r="78" spans="1:38" s="27" customFormat="1" hidden="1" x14ac:dyDescent="0.2">
      <c r="A78" s="96"/>
      <c r="B78" s="120" t="s">
        <v>53</v>
      </c>
      <c r="C78" s="114">
        <f>IF(C77 = 0,
0,
IF(C75 = (C$7+D$7),1,0))</f>
        <v>0</v>
      </c>
      <c r="D78" s="114">
        <f>IF(D77 = 0,
0,
IF(D75 = (C$7+D$7),1,0))</f>
        <v>0</v>
      </c>
      <c r="E78" s="114">
        <f>IF(E77 = 0,
0,
IF(E75 = (E$7+F$7),1,0))</f>
        <v>0</v>
      </c>
      <c r="F78" s="114">
        <f>IF(F77 = 0,
0,
IF(F75 = (E$7+F$7),1,0))</f>
        <v>0</v>
      </c>
      <c r="G78" s="114">
        <f>IF(G77 = 0,
0,
IF(G75 = (G$7+H$7),1,0))</f>
        <v>0</v>
      </c>
      <c r="H78" s="114">
        <f>IF(H77 = 0,
0,
IF(H75 = (G$7+H$7),1,0))</f>
        <v>0</v>
      </c>
      <c r="I78" s="114">
        <f>IF(I77 = 0,
0,
IF(I75 = (I$7+J$7),1,0))</f>
        <v>0</v>
      </c>
      <c r="J78" s="114">
        <f>IF(J77 = 0,
0,
IF(J75 = (I$7+J$7),1,0))</f>
        <v>0</v>
      </c>
      <c r="K78" s="114">
        <f>IF(K77 = 0,
0,
IF(K75 = (K$7+L$7),1,0))</f>
        <v>0</v>
      </c>
      <c r="L78" s="114">
        <f>IF(L77 = 0,
0,
IF(L75 = (K$7+L$7),1,0))</f>
        <v>0</v>
      </c>
      <c r="M78" s="114">
        <f>IF(M77 = 0,
0,
IF(M75 = (M$7+N$7),1,0))</f>
        <v>0</v>
      </c>
      <c r="N78" s="114">
        <f>IF(N77 = 0,
0,
IF(N75 = (M$7+N$7),1,0))</f>
        <v>0</v>
      </c>
      <c r="O78" s="114">
        <f>IF(O77 = 0,
0,
IF(O75 = (O$7+P$7),1,0))</f>
        <v>0</v>
      </c>
      <c r="P78" s="114">
        <f>IF(P77 = 0,
0,
IF(P75 = (O$7+P$7),1,0))</f>
        <v>0</v>
      </c>
      <c r="Q78" s="114">
        <f>IF(Q77 = 0,
0,
IF(Q75 = (Q$7+R$7),1,0))</f>
        <v>0</v>
      </c>
      <c r="R78" s="114">
        <f>IF(R77 = 0,
0,
IF(R75 = (Q$7+R$7),1,0))</f>
        <v>0</v>
      </c>
      <c r="S78" s="130"/>
      <c r="T78" s="114">
        <f>IF(T77 = 0,
0,
IF(T75 = (T$7+U$7),1,0))</f>
        <v>0</v>
      </c>
      <c r="U78" s="114">
        <f>IF(U77 = 0,
0,
IF(U75 = (T$7+U$7),1,0))</f>
        <v>0</v>
      </c>
      <c r="V78" s="114">
        <f>IF(V77 = 0,
0,
IF(V75 = (V$7+W$7),1,0))</f>
        <v>0</v>
      </c>
      <c r="W78" s="114">
        <f>IF(W77 = 0,
0,
IF(W75 = (V$7+W$7),1,0))</f>
        <v>0</v>
      </c>
      <c r="X78" s="114">
        <f>IF(X77 = 0,
0,
IF(X75 = (X$7+Y$7),1,0))</f>
        <v>0</v>
      </c>
      <c r="Y78" s="114">
        <f>IF(Y77 = 0,
0,
IF(Y75 = (X$7+Y$7),1,0))</f>
        <v>0</v>
      </c>
      <c r="Z78" s="114">
        <f>IF(Z77 = 0,
0,
IF(Z75 = (Z$7+AA$7),1,0))</f>
        <v>0</v>
      </c>
      <c r="AA78" s="114">
        <f>IF(AA77 = 0,
0,
IF(AA75 = (Z$7+AA$7),1,0))</f>
        <v>0</v>
      </c>
      <c r="AB78" s="130"/>
      <c r="AC78" s="114">
        <f>IF(AC77 = 0,
0,
IF(AC75 = (AC$7+AD$7),1,0))</f>
        <v>0</v>
      </c>
      <c r="AD78" s="114">
        <f>IF(AD77 = 0,
0,
IF(AD75 = (AC$7+AD$7),1,0))</f>
        <v>0</v>
      </c>
      <c r="AE78" s="114">
        <f>IF(AE77 = 0,
0,
IF(AE75 = (AE$7+AF$7),1,0))</f>
        <v>0</v>
      </c>
      <c r="AF78" s="114">
        <f>IF(AF77 = 0,
0,
IF(AF75 = (AE$7+AF$7),1,0))</f>
        <v>0</v>
      </c>
      <c r="AG78" s="130"/>
      <c r="AH78" s="114">
        <f>IF(AH77 = 0,
0,
IF(AH75 = (AH$7+AI$7),1,0))</f>
        <v>0</v>
      </c>
      <c r="AI78" s="114">
        <f>IF(AI77 = 0,
0,
IF(AI75 = (AH$7+AI$7),1,0))</f>
        <v>0</v>
      </c>
      <c r="AJ78" s="130"/>
      <c r="AK78" s="131">
        <f>SUM(C78:AI78)</f>
        <v>0</v>
      </c>
      <c r="AL78" s="119"/>
    </row>
    <row r="79" spans="1:38" s="27" customFormat="1" ht="12.75" customHeight="1" x14ac:dyDescent="0.2">
      <c r="A79" s="113">
        <f>RANK(AL79,$AL$11:$AL$98,)</f>
        <v>18</v>
      </c>
      <c r="B79" s="81" t="s">
        <v>82</v>
      </c>
      <c r="C79" s="46">
        <v>6</v>
      </c>
      <c r="D79" s="45"/>
      <c r="E79" s="44"/>
      <c r="F79" s="45">
        <v>7</v>
      </c>
      <c r="G79" s="48">
        <v>7</v>
      </c>
      <c r="H79" s="47"/>
      <c r="I79" s="44"/>
      <c r="J79" s="47">
        <v>6</v>
      </c>
      <c r="K79" s="49">
        <v>6</v>
      </c>
      <c r="L79" s="47"/>
      <c r="M79" s="44">
        <v>7</v>
      </c>
      <c r="N79" s="45"/>
      <c r="O79" s="44">
        <v>5</v>
      </c>
      <c r="P79" s="45"/>
      <c r="Q79" s="48"/>
      <c r="R79" s="50">
        <v>6</v>
      </c>
      <c r="S79" s="118">
        <f>SUM(C80:R80)</f>
        <v>14</v>
      </c>
      <c r="T79" s="46"/>
      <c r="U79" s="47">
        <v>7</v>
      </c>
      <c r="V79" s="44">
        <v>6</v>
      </c>
      <c r="W79" s="47"/>
      <c r="X79" s="49"/>
      <c r="Y79" s="45">
        <v>6</v>
      </c>
      <c r="Z79" s="48">
        <v>6</v>
      </c>
      <c r="AA79" s="47"/>
      <c r="AB79" s="118">
        <f>SUM(T80:AA80)</f>
        <v>19</v>
      </c>
      <c r="AC79" s="48"/>
      <c r="AD79" s="47">
        <v>7</v>
      </c>
      <c r="AE79" s="49"/>
      <c r="AF79" s="47">
        <v>7</v>
      </c>
      <c r="AG79" s="118">
        <f>SUM(AC80:AF80)</f>
        <v>19</v>
      </c>
      <c r="AH79" s="97"/>
      <c r="AI79" s="315">
        <v>7</v>
      </c>
      <c r="AJ79" s="118">
        <f>AH80</f>
        <v>32</v>
      </c>
      <c r="AK79" s="107">
        <f>MAX($AL$11:$AL$98) - AL79</f>
        <v>53</v>
      </c>
      <c r="AL79" s="118">
        <f>$S79+$AB79+$AG79+$AJ79</f>
        <v>84</v>
      </c>
    </row>
    <row r="80" spans="1:38" s="27" customFormat="1" hidden="1" x14ac:dyDescent="0.2">
      <c r="A80" s="113" t="e">
        <f>RANK(AL80,$AL$11:$AL$98,)</f>
        <v>#N/A</v>
      </c>
      <c r="B80" s="95"/>
      <c r="C80" s="122">
        <f>(IF($C79&lt;&gt;"",($C$7*$O$105)+IF($C$7=4,($O$103)+IF($C79=$C$7+$D$7,$O$104,0),0),0)+IF($D79&lt;&gt;"",($D$7*$O$105)+IF($D$7=4,($O$103)+IF($D79=$C$7+$D$7,$O$104,0),0),0))</f>
        <v>0</v>
      </c>
      <c r="D80" s="123"/>
      <c r="E80" s="121">
        <f>(IF($E79&lt;&gt;"",($E$7*$O$105)+IF($E$7=4,($O$103)+IF($E79=$E$7+$F$7,$O$104,0),0),0)+IF($F79&lt;&gt;"",($F$7*$O$105)+IF($F$7=4,($O$103)+IF($F79=$E$7+$F$7,$O$104,0),0),0))</f>
        <v>3</v>
      </c>
      <c r="F80" s="123"/>
      <c r="G80" s="121">
        <f>(IF($G79&lt;&gt;"",($G$7*$O$105)+IF($G$7=4,($O$103)+IF($G79=$G$7+$H$7,$O$104,0),0),0)+IF($H79&lt;&gt;"",($H$7*$O$105)+IF($H$7=4,($O$103)+IF($H79=$G$7+$H$7,$O$104,0),0),0))</f>
        <v>3</v>
      </c>
      <c r="H80" s="123"/>
      <c r="I80" s="124">
        <f>(IF($I79&lt;&gt;"",($I$7*$O$105)+IF($I$7=4,($O$103)+IF($I79=$I$7+$J$7,$O$104,0),0),0)+IF($J79&lt;&gt;"",($J$7*$O$105)+IF($J$7=4,($O$103)+IF($J79=$I$7+$J$7,$O$104,0),0),0))</f>
        <v>0</v>
      </c>
      <c r="J80" s="125"/>
      <c r="K80" s="126">
        <f>(IF($K79&lt;&gt;"",($K$7*$O$105)+IF($K$7=4,($O$103)+IF($K79=$K$7+$L$7,$O$104,0),0),0)+IF($L79&lt;&gt;"",($L$7*$O$105)+IF($L$7=4,($O$103)+IF($L79=$K$7+$L$7,$O$104,0),0),0))</f>
        <v>1</v>
      </c>
      <c r="L80" s="123"/>
      <c r="M80" s="121">
        <f>(IF($M79&lt;&gt;"",($M$7*$O$105)+IF($M$7=4,($O$103)+IF($M79=$M$7+$N$7,$O$104,0),0),0)+IF($N79&lt;&gt;"",($N$7*$O$105)+IF($N$7=4,($O$103)+IF($N79=$M$7+$N$7,$O$104,0),0),0))</f>
        <v>2</v>
      </c>
      <c r="N80" s="123"/>
      <c r="O80" s="124">
        <f>(IF($O79&lt;&gt;"",($O$7*$O$105)+IF($O$7=4,($O$103)+IF($O79=$O$7+$P$7,$O$104,0),0),0)+IF($P79&lt;&gt;"",($P$7*$O$105)+IF($P$7=4,($O$103)+IF($P79=$O$7+$P$7,$O$104,0),0),0))</f>
        <v>2</v>
      </c>
      <c r="P80" s="123"/>
      <c r="Q80" s="124">
        <f>(IF($Q79&lt;&gt;"",($Q$7*$O$105)+IF($Q$7=4,($O$103)+IF($Q79=$Q$7+$R$7,$O$104,0),0),0)+IF($R79&lt;&gt;"",($R$7*$O$105)+IF($R$7=4,($O$103)+IF($R79=$Q$7+$R$7,$O$104,0),0),0))</f>
        <v>3</v>
      </c>
      <c r="R80" s="127"/>
      <c r="S80" s="117"/>
      <c r="T80" s="122">
        <f>(IF($T79&lt;&gt;"",($T$7*$P$105)+IF($T$7=4,($P$103)+IF($T79=$T$7+$U$7,$P$104,0),0),0)+IF($U79&lt;&gt;"",($U$7*$P$105)+IF($U$7=4,($P$103)+IF($U79=$T$7+$U$7,$P$104,0),0),0))</f>
        <v>2</v>
      </c>
      <c r="U80" s="122"/>
      <c r="V80" s="122">
        <f>(IF($V79&lt;&gt;"",($V$7*$P$105)+IF($V$7=4,($P$103)+IF($V79=$V$7+$W$7,$P$104,0),0),0)+IF($W79&lt;&gt;"",($W$7*$P$105)+IF($W$7=4,($P$103)+IF($W79=$V$7+$W$7,$P$104,0),0),0))</f>
        <v>0</v>
      </c>
      <c r="W80" s="122"/>
      <c r="X80" s="122">
        <f>(IF($X79&lt;&gt;"",($X$7*$P$105)+IF($X$7=4,($P$103)+IF($X79=$X$7+$Y$7,$P$104,0),0),0)+IF($Y79&lt;&gt;"",($Y$7*$P$105)+IF($Y$7=4,($P$103)+IF($Y79=$X$7+$Y$7,$P$104,0),0),0))</f>
        <v>3</v>
      </c>
      <c r="Y80" s="59"/>
      <c r="Z80" s="122">
        <f>(IF($Z79&lt;&gt;"",($Z$7*$P$105)+IF($Z$7=4,($P$103)+IF($Z79=$Z$7+$AA$7,$P$104,0),0),0)+IF($AA79&lt;&gt;"",($AA$7*$P$105)+IF($AA$7=4,($P$103)+IF($AA79=$Z$7+$AA$7,$P$104,0),0),0))</f>
        <v>14</v>
      </c>
      <c r="AA80" s="60"/>
      <c r="AB80" s="117"/>
      <c r="AC80" s="122">
        <f>(IF($AC79&lt;&gt;"",($AC$7*$Q$105)+IF($AC$7=4,($Q$103)+IF($AC79=$AC$7+$AD$7,$Q$104,0),0),0)+IF($AD79&lt;&gt;"",($AD$7*$Q$105)+IF($AD$7=4,($Q$103)+IF($AD79=$AC$7+$AD$7,$Q$104,0),0),0))</f>
        <v>0</v>
      </c>
      <c r="AD80" s="122"/>
      <c r="AE80" s="122">
        <f>(IF($AE79&lt;&gt;"",($AE$7*$Q$105)+IF($AE$7=4,($Q$103)+IF($AE79=$AE$7+$AF$7,$Q$104,0),0),0)+IF($AF79&lt;&gt;"",($AF$7*$Q$105)+IF($AF$7=4,($Q$103)+IF($AF79=$AE$7+$AF$7,$Q$104,0),0),0))</f>
        <v>19</v>
      </c>
      <c r="AF80" s="82"/>
      <c r="AG80" s="117"/>
      <c r="AH80" s="122">
        <f>(IF($AH79&lt;&gt;"",($AH$7*$Q$105)+IF($AH$7=4,($R$103)+IF($AH79=$AH$7+$AI$7,$R$104,0),0),0)+IF($AI79&lt;&gt;"",($AI$7*$R$105)+IF($AI$7=4,($R$103)+IF($AI79=$AH$7+$AI$7,$R$104,0),0),0))</f>
        <v>32</v>
      </c>
      <c r="AI80" s="128"/>
      <c r="AJ80" s="117"/>
      <c r="AK80" s="106"/>
      <c r="AL80" s="117"/>
    </row>
    <row r="81" spans="1:38" s="27" customFormat="1" hidden="1" x14ac:dyDescent="0.2">
      <c r="A81" s="96"/>
      <c r="B81" s="120" t="s">
        <v>52</v>
      </c>
      <c r="C81" s="114">
        <f>IF(ISBLANK(C79),
0,
IF(C$7= 4, 1, 0))</f>
        <v>0</v>
      </c>
      <c r="D81" s="114">
        <f>IF(ISBLANK(D79),
0,
IF(D$7 = 4, 1, 0))</f>
        <v>0</v>
      </c>
      <c r="E81" s="114">
        <f>IF(ISBLANK(E79),
0,
IF(E$7= 4, 1, 0))</f>
        <v>0</v>
      </c>
      <c r="F81" s="114">
        <f>IF(ISBLANK(F79),
0,
IF(F$7 = 4, 1, 0))</f>
        <v>0</v>
      </c>
      <c r="G81" s="114">
        <f>IF(ISBLANK(G79),
0,
IF(G$7= 4, 1, 0))</f>
        <v>0</v>
      </c>
      <c r="H81" s="114">
        <f>IF(ISBLANK(H79),
0,
IF(H$7 = 4, 1, 0))</f>
        <v>0</v>
      </c>
      <c r="I81" s="114">
        <f>IF(ISBLANK(I79),
0,
IF(I$7= 4, 1, 0))</f>
        <v>0</v>
      </c>
      <c r="J81" s="114">
        <f>IF(ISBLANK(J79),
0,
IF(J$7 = 4, 1, 0))</f>
        <v>0</v>
      </c>
      <c r="K81" s="114">
        <f>IF(ISBLANK(K79),
0,
IF(K$7= 4, 1, 0))</f>
        <v>0</v>
      </c>
      <c r="L81" s="114">
        <f>IF(ISBLANK(L79),
0,
IF(L$7 = 4, 1, 0))</f>
        <v>0</v>
      </c>
      <c r="M81" s="114">
        <f>IF(ISBLANK(M79),
0,
IF(M$7= 4, 1, 0))</f>
        <v>0</v>
      </c>
      <c r="N81" s="114">
        <f>IF(ISBLANK(N79),
0,
IF(N$7 = 4, 1, 0))</f>
        <v>0</v>
      </c>
      <c r="O81" s="114">
        <f>IF(ISBLANK(O79),
0,
IF(O$7= 4, 1, 0))</f>
        <v>0</v>
      </c>
      <c r="P81" s="114">
        <f>IF(ISBLANK(P79),
0,
IF(P$7 = 4, 1, 0))</f>
        <v>0</v>
      </c>
      <c r="Q81" s="114">
        <f>IF(ISBLANK(Q79),
0,
IF(Q$7= 4, 1, 0))</f>
        <v>0</v>
      </c>
      <c r="R81" s="114">
        <f>IF(ISBLANK(R79),
0,
IF(R$7 = 4, 1, 0))</f>
        <v>0</v>
      </c>
      <c r="S81" s="130"/>
      <c r="T81" s="114">
        <f>IF(ISBLANK(T79),
0,
IF(T$7= 4, 1, 0))</f>
        <v>0</v>
      </c>
      <c r="U81" s="114">
        <f>IF(ISBLANK(U79),
0,
IF(U$7 = 4, 1, 0))</f>
        <v>0</v>
      </c>
      <c r="V81" s="114">
        <f>IF(ISBLANK(V79),
0,
IF(V$7= 4, 1, 0))</f>
        <v>0</v>
      </c>
      <c r="W81" s="114">
        <f>IF(ISBLANK(W79),
0,
IF(W$7 = 4, 1, 0))</f>
        <v>0</v>
      </c>
      <c r="X81" s="114">
        <f>IF(ISBLANK(X79),
0,
IF(X$7= 4, 1, 0))</f>
        <v>0</v>
      </c>
      <c r="Y81" s="114">
        <f>IF(ISBLANK(Y79),
0,
IF(Y$7 = 4, 1, 0))</f>
        <v>0</v>
      </c>
      <c r="Z81" s="114">
        <f>IF(ISBLANK(Z79),
0,
IF(Z$7= 4, 1, 0))</f>
        <v>1</v>
      </c>
      <c r="AA81" s="114">
        <f>IF(ISBLANK(AA79),
0,
IF(AA$7 = 4, 1, 0))</f>
        <v>0</v>
      </c>
      <c r="AB81" s="130"/>
      <c r="AC81" s="114">
        <f>IF(ISBLANK(AC79),
0,
IF(AC$7= 4, 1, 0))</f>
        <v>0</v>
      </c>
      <c r="AD81" s="114">
        <f>IF(ISBLANK(AD79),
0,
IF(AD$7 = 4, 1, 0))</f>
        <v>0</v>
      </c>
      <c r="AE81" s="114">
        <f>IF(ISBLANK(AE79),
0,
IF(AE$7= 4, 1, 0))</f>
        <v>0</v>
      </c>
      <c r="AF81" s="114">
        <f>IF(ISBLANK(AF79),
0,
IF(AF$7 = 4, 1, 0))</f>
        <v>1</v>
      </c>
      <c r="AG81" s="130"/>
      <c r="AH81" s="114">
        <f>IF(ISBLANK(AH79),
0,
IF(AH$7= 4, 1, 0))</f>
        <v>0</v>
      </c>
      <c r="AI81" s="114">
        <f>IF(ISBLANK(AI79),
0,
IF(AI$7 = 4, 1, 0))</f>
        <v>1</v>
      </c>
      <c r="AJ81" s="130"/>
      <c r="AK81" s="131">
        <f>SUM(C81:AI81)</f>
        <v>3</v>
      </c>
      <c r="AL81" s="119"/>
    </row>
    <row r="82" spans="1:38" s="27" customFormat="1" hidden="1" x14ac:dyDescent="0.2">
      <c r="A82" s="96"/>
      <c r="B82" s="120" t="s">
        <v>53</v>
      </c>
      <c r="C82" s="114">
        <f>IF(C81 = 0,
0,
IF(C79 = (C$7+D$7),1,0))</f>
        <v>0</v>
      </c>
      <c r="D82" s="114">
        <f>IF(D81 = 0,
0,
IF(D79 = (C$7+D$7),1,0))</f>
        <v>0</v>
      </c>
      <c r="E82" s="114">
        <f>IF(E81 = 0,
0,
IF(E79 = (E$7+F$7),1,0))</f>
        <v>0</v>
      </c>
      <c r="F82" s="114">
        <f>IF(F81 = 0,
0,
IF(F79 = (E$7+F$7),1,0))</f>
        <v>0</v>
      </c>
      <c r="G82" s="114">
        <f>IF(G81 = 0,
0,
IF(G79 = (G$7+H$7),1,0))</f>
        <v>0</v>
      </c>
      <c r="H82" s="114">
        <f>IF(H81 = 0,
0,
IF(H79 = (G$7+H$7),1,0))</f>
        <v>0</v>
      </c>
      <c r="I82" s="114">
        <f>IF(I81 = 0,
0,
IF(I79 = (I$7+J$7),1,0))</f>
        <v>0</v>
      </c>
      <c r="J82" s="114">
        <f>IF(J81 = 0,
0,
IF(J79 = (I$7+J$7),1,0))</f>
        <v>0</v>
      </c>
      <c r="K82" s="114">
        <f>IF(K81 = 0,
0,
IF(K79 = (K$7+L$7),1,0))</f>
        <v>0</v>
      </c>
      <c r="L82" s="114">
        <f>IF(L81 = 0,
0,
IF(L79 = (K$7+L$7),1,0))</f>
        <v>0</v>
      </c>
      <c r="M82" s="114">
        <f>IF(M81 = 0,
0,
IF(M79 = (M$7+N$7),1,0))</f>
        <v>0</v>
      </c>
      <c r="N82" s="114">
        <f>IF(N81 = 0,
0,
IF(N79 = (M$7+N$7),1,0))</f>
        <v>0</v>
      </c>
      <c r="O82" s="114">
        <f>IF(O81 = 0,
0,
IF(O79 = (O$7+P$7),1,0))</f>
        <v>0</v>
      </c>
      <c r="P82" s="114">
        <f>IF(P81 = 0,
0,
IF(P79 = (O$7+P$7),1,0))</f>
        <v>0</v>
      </c>
      <c r="Q82" s="114">
        <f>IF(Q81 = 0,
0,
IF(Q79 = (Q$7+R$7),1,0))</f>
        <v>0</v>
      </c>
      <c r="R82" s="114">
        <f>IF(R81 = 0,
0,
IF(R79 = (Q$7+R$7),1,0))</f>
        <v>0</v>
      </c>
      <c r="S82" s="130"/>
      <c r="T82" s="114">
        <f>IF(T81 = 0,
0,
IF(T79 = (T$7+U$7),1,0))</f>
        <v>0</v>
      </c>
      <c r="U82" s="114">
        <f>IF(U81 = 0,
0,
IF(U79 = (T$7+U$7),1,0))</f>
        <v>0</v>
      </c>
      <c r="V82" s="114">
        <f>IF(V81 = 0,
0,
IF(V79 = (V$7+W$7),1,0))</f>
        <v>0</v>
      </c>
      <c r="W82" s="114">
        <f>IF(W81 = 0,
0,
IF(W79 = (V$7+W$7),1,0))</f>
        <v>0</v>
      </c>
      <c r="X82" s="114">
        <f>IF(X81 = 0,
0,
IF(X79 = (X$7+Y$7),1,0))</f>
        <v>0</v>
      </c>
      <c r="Y82" s="114">
        <f>IF(Y81 = 0,
0,
IF(Y79 = (X$7+Y$7),1,0))</f>
        <v>0</v>
      </c>
      <c r="Z82" s="114">
        <f>IF(Z81 = 0,
0,
IF(Z79 = (Z$7+AA$7),1,0))</f>
        <v>0</v>
      </c>
      <c r="AA82" s="114">
        <f>IF(AA81 = 0,
0,
IF(AA79 = (Z$7+AA$7),1,0))</f>
        <v>0</v>
      </c>
      <c r="AB82" s="130"/>
      <c r="AC82" s="114">
        <f>IF(AC81 = 0,
0,
IF(AC79 = (AC$7+AD$7),1,0))</f>
        <v>0</v>
      </c>
      <c r="AD82" s="114">
        <f>IF(AD81 = 0,
0,
IF(AD79 = (AC$7+AD$7),1,0))</f>
        <v>0</v>
      </c>
      <c r="AE82" s="114">
        <f>IF(AE81 = 0,
0,
IF(AE79 = (AE$7+AF$7),1,0))</f>
        <v>0</v>
      </c>
      <c r="AF82" s="114">
        <f>IF(AF81 = 0,
0,
IF(AF79 = (AE$7+AF$7),1,0))</f>
        <v>0</v>
      </c>
      <c r="AG82" s="130"/>
      <c r="AH82" s="114">
        <f>IF(AH81 = 0,
0,
IF(AH79 = (AH$7+AI$7),1,0))</f>
        <v>0</v>
      </c>
      <c r="AI82" s="114">
        <f>IF(AI81 = 0,
0,
IF(AI79 = (AH$7+AI$7),1,0))</f>
        <v>1</v>
      </c>
      <c r="AJ82" s="130"/>
      <c r="AK82" s="131">
        <f>SUM(C82:AI82)</f>
        <v>1</v>
      </c>
      <c r="AL82" s="119"/>
    </row>
    <row r="83" spans="1:38" s="27" customFormat="1" ht="12.75" customHeight="1" x14ac:dyDescent="0.2">
      <c r="A83" s="201">
        <f>RANK(AL83,$AL$11:$AL$98,)</f>
        <v>19</v>
      </c>
      <c r="B83" s="202" t="s">
        <v>66</v>
      </c>
      <c r="C83" s="245">
        <v>5</v>
      </c>
      <c r="D83" s="246"/>
      <c r="E83" s="247">
        <v>6</v>
      </c>
      <c r="F83" s="246"/>
      <c r="G83" s="248">
        <v>5</v>
      </c>
      <c r="H83" s="249"/>
      <c r="I83" s="247"/>
      <c r="J83" s="249">
        <v>6</v>
      </c>
      <c r="K83" s="250">
        <v>6</v>
      </c>
      <c r="L83" s="249"/>
      <c r="M83" s="247">
        <v>7</v>
      </c>
      <c r="N83" s="246"/>
      <c r="O83" s="247">
        <v>6</v>
      </c>
      <c r="P83" s="246"/>
      <c r="Q83" s="248"/>
      <c r="R83" s="251">
        <v>6</v>
      </c>
      <c r="S83" s="224">
        <f>SUM(C84:R84)</f>
        <v>20</v>
      </c>
      <c r="T83" s="214"/>
      <c r="U83" s="218">
        <v>6</v>
      </c>
      <c r="V83" s="219">
        <v>7</v>
      </c>
      <c r="W83" s="218"/>
      <c r="X83" s="220">
        <v>6</v>
      </c>
      <c r="Y83" s="215"/>
      <c r="Z83" s="229">
        <v>7</v>
      </c>
      <c r="AA83" s="218"/>
      <c r="AB83" s="224">
        <f>SUM(T84:AA84)</f>
        <v>34</v>
      </c>
      <c r="AC83" s="217">
        <v>5</v>
      </c>
      <c r="AD83" s="218"/>
      <c r="AE83" s="220">
        <v>7</v>
      </c>
      <c r="AF83" s="218"/>
      <c r="AG83" s="224">
        <f>SUM(AC84:AF84)</f>
        <v>21</v>
      </c>
      <c r="AH83" s="228">
        <v>7</v>
      </c>
      <c r="AI83" s="225"/>
      <c r="AJ83" s="224">
        <f>AH84</f>
        <v>3</v>
      </c>
      <c r="AK83" s="226">
        <f>MAX($AL$11:$AL$98) - AL83</f>
        <v>59</v>
      </c>
      <c r="AL83" s="224">
        <f>$S83+$AB83+$AG83+$AJ83</f>
        <v>78</v>
      </c>
    </row>
    <row r="84" spans="1:38" s="27" customFormat="1" hidden="1" x14ac:dyDescent="0.2">
      <c r="A84" s="113" t="e">
        <f>RANK(AL84,$AL$11:$AL$98,)</f>
        <v>#N/A</v>
      </c>
      <c r="B84" s="95"/>
      <c r="C84" s="122">
        <f>(IF($C83&lt;&gt;"",($C$7*$O$105)+IF($C$7=4,($O$103)+IF($C83=$C$7+$D$7,$O$104,0),0),0)+IF($D83&lt;&gt;"",($D$7*$O$105)+IF($D$7=4,($O$103)+IF($D83=$C$7+$D$7,$O$104,0),0),0))</f>
        <v>0</v>
      </c>
      <c r="D84" s="123"/>
      <c r="E84" s="121">
        <f>(IF($E83&lt;&gt;"",($E$7*$O$105)+IF($E$7=4,($O$103)+IF($E83=$E$7+$F$7,$O$104,0),0),0)+IF($F83&lt;&gt;"",($F$7*$O$105)+IF($F$7=4,($O$103)+IF($F83=$E$7+$F$7,$O$104,0),0),0))</f>
        <v>9</v>
      </c>
      <c r="F84" s="123"/>
      <c r="G84" s="121">
        <f>(IF($G83&lt;&gt;"",($G$7*$O$105)+IF($G$7=4,($O$103)+IF($G83=$G$7+$H$7,$O$104,0),0),0)+IF($H83&lt;&gt;"",($H$7*$O$105)+IF($H$7=4,($O$103)+IF($H83=$G$7+$H$7,$O$104,0),0),0))</f>
        <v>3</v>
      </c>
      <c r="H84" s="123"/>
      <c r="I84" s="124">
        <f>(IF($I83&lt;&gt;"",($I$7*$O$105)+IF($I$7=4,($O$103)+IF($I83=$I$7+$J$7,$O$104,0),0),0)+IF($J83&lt;&gt;"",($J$7*$O$105)+IF($J$7=4,($O$103)+IF($J83=$I$7+$J$7,$O$104,0),0),0))</f>
        <v>0</v>
      </c>
      <c r="J84" s="125"/>
      <c r="K84" s="126">
        <f>(IF($K83&lt;&gt;"",($K$7*$O$105)+IF($K$7=4,($O$103)+IF($K83=$K$7+$L$7,$O$104,0),0),0)+IF($L83&lt;&gt;"",($L$7*$O$105)+IF($L$7=4,($O$103)+IF($L83=$K$7+$L$7,$O$104,0),0),0))</f>
        <v>1</v>
      </c>
      <c r="L84" s="123"/>
      <c r="M84" s="121">
        <f>(IF($M83&lt;&gt;"",($M$7*$O$105)+IF($M$7=4,($O$103)+IF($M83=$M$7+$N$7,$O$104,0),0),0)+IF($N83&lt;&gt;"",($N$7*$O$105)+IF($N$7=4,($O$103)+IF($N83=$M$7+$N$7,$O$104,0),0),0))</f>
        <v>2</v>
      </c>
      <c r="N84" s="123"/>
      <c r="O84" s="124">
        <f>(IF($O83&lt;&gt;"",($O$7*$O$105)+IF($O$7=4,($O$103)+IF($O83=$O$7+$P$7,$O$104,0),0),0)+IF($P83&lt;&gt;"",($P$7*$O$105)+IF($P$7=4,($O$103)+IF($P83=$O$7+$P$7,$O$104,0),0),0))</f>
        <v>2</v>
      </c>
      <c r="P84" s="123"/>
      <c r="Q84" s="124">
        <f>(IF($Q83&lt;&gt;"",($Q$7*$O$105)+IF($Q$7=4,($O$103)+IF($Q83=$Q$7+$R$7,$O$104,0),0),0)+IF($R83&lt;&gt;"",($R$7*$O$105)+IF($R$7=4,($O$103)+IF($R83=$Q$7+$R$7,$O$104,0),0),0))</f>
        <v>3</v>
      </c>
      <c r="R84" s="127"/>
      <c r="S84" s="117"/>
      <c r="T84" s="122">
        <f>(IF($T83&lt;&gt;"",($T$7*$P$105)+IF($T$7=4,($P$103)+IF($T83=$T$7+$U$7,$P$104,0),0),0)+IF($U83&lt;&gt;"",($U$7*$P$105)+IF($U$7=4,($P$103)+IF($U83=$T$7+$U$7,$P$104,0),0),0))</f>
        <v>2</v>
      </c>
      <c r="U84" s="122"/>
      <c r="V84" s="122">
        <f>(IF($V83&lt;&gt;"",($V$7*$P$105)+IF($V$7=4,($P$103)+IF($V83=$V$7+$W$7,$P$104,0),0),0)+IF($W83&lt;&gt;"",($W$7*$P$105)+IF($W$7=4,($P$103)+IF($W83=$V$7+$W$7,$P$104,0),0),0))</f>
        <v>0</v>
      </c>
      <c r="W84" s="122"/>
      <c r="X84" s="122">
        <f>(IF($X83&lt;&gt;"",($X$7*$P$105)+IF($X$7=4,($P$103)+IF($X83=$X$7+$Y$7,$P$104,0),0),0)+IF($Y83&lt;&gt;"",($Y$7*$P$105)+IF($Y$7=4,($P$103)+IF($Y83=$X$7+$Y$7,$P$104,0),0),0))</f>
        <v>14</v>
      </c>
      <c r="Y84" s="59"/>
      <c r="Z84" s="122">
        <f>(IF($Z83&lt;&gt;"",($Z$7*$P$105)+IF($Z$7=4,($P$103)+IF($Z83=$Z$7+$AA$7,$P$104,0),0),0)+IF($AA83&lt;&gt;"",($AA$7*$P$105)+IF($AA$7=4,($P$103)+IF($AA83=$Z$7+$AA$7,$P$104,0),0),0))</f>
        <v>18</v>
      </c>
      <c r="AA84" s="60"/>
      <c r="AB84" s="117"/>
      <c r="AC84" s="122">
        <f>(IF($AC83&lt;&gt;"",($AC$7*$Q$105)+IF($AC$7=4,($Q$103)+IF($AC83=$AC$7+$AD$7,$Q$104,0),0),0)+IF($AD83&lt;&gt;"",($AD$7*$Q$105)+IF($AD$7=4,($Q$103)+IF($AD83=$AC$7+$AD$7,$Q$104,0),0),0))</f>
        <v>19</v>
      </c>
      <c r="AD84" s="122"/>
      <c r="AE84" s="122">
        <f>(IF($AE83&lt;&gt;"",($AE$7*$Q$105)+IF($AE$7=4,($Q$103)+IF($AE83=$AE$7+$AF$7,$Q$104,0),0),0)+IF($AF83&lt;&gt;"",($AF$7*$Q$105)+IF($AF$7=4,($Q$103)+IF($AF83=$AE$7+$AF$7,$Q$104,0),0),0))</f>
        <v>2</v>
      </c>
      <c r="AF84" s="82"/>
      <c r="AG84" s="117"/>
      <c r="AH84" s="122">
        <f>(IF($AH83&lt;&gt;"",($AH$7*$Q$105)+IF($AH$7=4,($R$103)+IF($AH83=$AH$7+$AI$7,$R$104,0),0),0)+IF($AI83&lt;&gt;"",($AI$7*$R$105)+IF($AI$7=4,($R$103)+IF($AI83=$AH$7+$AI$7,$R$104,0),0),0))</f>
        <v>3</v>
      </c>
      <c r="AI84" s="128"/>
      <c r="AJ84" s="117"/>
      <c r="AK84" s="106"/>
      <c r="AL84" s="117"/>
    </row>
    <row r="85" spans="1:38" s="27" customFormat="1" hidden="1" x14ac:dyDescent="0.2">
      <c r="A85" s="96"/>
      <c r="B85" s="120" t="s">
        <v>52</v>
      </c>
      <c r="C85" s="114">
        <f>IF(ISBLANK(C83),
0,
IF(C$7= 4, 1, 0))</f>
        <v>0</v>
      </c>
      <c r="D85" s="114">
        <f>IF(ISBLANK(D83),
0,
IF(D$7 = 4, 1, 0))</f>
        <v>0</v>
      </c>
      <c r="E85" s="114">
        <f>IF(ISBLANK(E83),
0,
IF(E$7= 4, 1, 0))</f>
        <v>1</v>
      </c>
      <c r="F85" s="114">
        <f>IF(ISBLANK(F83),
0,
IF(F$7 = 4, 1, 0))</f>
        <v>0</v>
      </c>
      <c r="G85" s="114">
        <f>IF(ISBLANK(G83),
0,
IF(G$7= 4, 1, 0))</f>
        <v>0</v>
      </c>
      <c r="H85" s="114">
        <f>IF(ISBLANK(H83),
0,
IF(H$7 = 4, 1, 0))</f>
        <v>0</v>
      </c>
      <c r="I85" s="114">
        <f>IF(ISBLANK(I83),
0,
IF(I$7= 4, 1, 0))</f>
        <v>0</v>
      </c>
      <c r="J85" s="114">
        <f>IF(ISBLANK(J83),
0,
IF(J$7 = 4, 1, 0))</f>
        <v>0</v>
      </c>
      <c r="K85" s="114">
        <f>IF(ISBLANK(K83),
0,
IF(K$7= 4, 1, 0))</f>
        <v>0</v>
      </c>
      <c r="L85" s="114">
        <f>IF(ISBLANK(L83),
0,
IF(L$7 = 4, 1, 0))</f>
        <v>0</v>
      </c>
      <c r="M85" s="114">
        <f>IF(ISBLANK(M83),
0,
IF(M$7= 4, 1, 0))</f>
        <v>0</v>
      </c>
      <c r="N85" s="114">
        <f>IF(ISBLANK(N83),
0,
IF(N$7 = 4, 1, 0))</f>
        <v>0</v>
      </c>
      <c r="O85" s="114">
        <f>IF(ISBLANK(O83),
0,
IF(O$7= 4, 1, 0))</f>
        <v>0</v>
      </c>
      <c r="P85" s="114">
        <f>IF(ISBLANK(P83),
0,
IF(P$7 = 4, 1, 0))</f>
        <v>0</v>
      </c>
      <c r="Q85" s="114">
        <f>IF(ISBLANK(Q83),
0,
IF(Q$7= 4, 1, 0))</f>
        <v>0</v>
      </c>
      <c r="R85" s="114">
        <f>IF(ISBLANK(R83),
0,
IF(R$7 = 4, 1, 0))</f>
        <v>0</v>
      </c>
      <c r="S85" s="130"/>
      <c r="T85" s="114">
        <f>IF(ISBLANK(T83),
0,
IF(T$7= 4, 1, 0))</f>
        <v>0</v>
      </c>
      <c r="U85" s="114">
        <f>IF(ISBLANK(U83),
0,
IF(U$7 = 4, 1, 0))</f>
        <v>0</v>
      </c>
      <c r="V85" s="114">
        <f>IF(ISBLANK(V83),
0,
IF(V$7= 4, 1, 0))</f>
        <v>0</v>
      </c>
      <c r="W85" s="114">
        <f>IF(ISBLANK(W83),
0,
IF(W$7 = 4, 1, 0))</f>
        <v>0</v>
      </c>
      <c r="X85" s="114">
        <f>IF(ISBLANK(X83),
0,
IF(X$7= 4, 1, 0))</f>
        <v>1</v>
      </c>
      <c r="Y85" s="114">
        <f>IF(ISBLANK(Y83),
0,
IF(Y$7 = 4, 1, 0))</f>
        <v>0</v>
      </c>
      <c r="Z85" s="114">
        <f>IF(ISBLANK(Z83),
0,
IF(Z$7= 4, 1, 0))</f>
        <v>1</v>
      </c>
      <c r="AA85" s="114">
        <f>IF(ISBLANK(AA83),
0,
IF(AA$7 = 4, 1, 0))</f>
        <v>0</v>
      </c>
      <c r="AB85" s="130"/>
      <c r="AC85" s="114">
        <f>IF(ISBLANK(AC83),
0,
IF(AC$7= 4, 1, 0))</f>
        <v>1</v>
      </c>
      <c r="AD85" s="114">
        <f>IF(ISBLANK(AD83),
0,
IF(AD$7 = 4, 1, 0))</f>
        <v>0</v>
      </c>
      <c r="AE85" s="114">
        <f>IF(ISBLANK(AE83),
0,
IF(AE$7= 4, 1, 0))</f>
        <v>0</v>
      </c>
      <c r="AF85" s="114">
        <f>IF(ISBLANK(AF83),
0,
IF(AF$7 = 4, 1, 0))</f>
        <v>0</v>
      </c>
      <c r="AG85" s="130"/>
      <c r="AH85" s="114">
        <f>IF(ISBLANK(AH83),
0,
IF(AH$7= 4, 1, 0))</f>
        <v>0</v>
      </c>
      <c r="AI85" s="114">
        <f>IF(ISBLANK(AI83),
0,
IF(AI$7 = 4, 1, 0))</f>
        <v>0</v>
      </c>
      <c r="AJ85" s="130"/>
      <c r="AK85" s="131">
        <f>SUM(C85:AI85)</f>
        <v>4</v>
      </c>
      <c r="AL85" s="119"/>
    </row>
    <row r="86" spans="1:38" s="27" customFormat="1" hidden="1" x14ac:dyDescent="0.2">
      <c r="A86" s="96"/>
      <c r="B86" s="120" t="s">
        <v>53</v>
      </c>
      <c r="C86" s="114">
        <f>IF(C85 = 0,
0,
IF(C83 = (C$7+D$7),1,0))</f>
        <v>0</v>
      </c>
      <c r="D86" s="114">
        <f>IF(D85 = 0,
0,
IF(D83 = (C$7+D$7),1,0))</f>
        <v>0</v>
      </c>
      <c r="E86" s="114">
        <f>IF(E85 = 0,
0,
IF(E83 = (E$7+F$7),1,0))</f>
        <v>0</v>
      </c>
      <c r="F86" s="114">
        <f>IF(F85 = 0,
0,
IF(F83 = (E$7+F$7),1,0))</f>
        <v>0</v>
      </c>
      <c r="G86" s="114">
        <f>IF(G85 = 0,
0,
IF(G83 = (G$7+H$7),1,0))</f>
        <v>0</v>
      </c>
      <c r="H86" s="114">
        <f>IF(H85 = 0,
0,
IF(H83 = (G$7+H$7),1,0))</f>
        <v>0</v>
      </c>
      <c r="I86" s="114">
        <f>IF(I85 = 0,
0,
IF(I83 = (I$7+J$7),1,0))</f>
        <v>0</v>
      </c>
      <c r="J86" s="114">
        <f>IF(J85 = 0,
0,
IF(J83 = (I$7+J$7),1,0))</f>
        <v>0</v>
      </c>
      <c r="K86" s="114">
        <f>IF(K85 = 0,
0,
IF(K83 = (K$7+L$7),1,0))</f>
        <v>0</v>
      </c>
      <c r="L86" s="114">
        <f>IF(L85 = 0,
0,
IF(L83 = (K$7+L$7),1,0))</f>
        <v>0</v>
      </c>
      <c r="M86" s="114">
        <f>IF(M85 = 0,
0,
IF(M83 = (M$7+N$7),1,0))</f>
        <v>0</v>
      </c>
      <c r="N86" s="114">
        <f>IF(N85 = 0,
0,
IF(N83 = (M$7+N$7),1,0))</f>
        <v>0</v>
      </c>
      <c r="O86" s="114">
        <f>IF(O85 = 0,
0,
IF(O83 = (O$7+P$7),1,0))</f>
        <v>0</v>
      </c>
      <c r="P86" s="114">
        <f>IF(P85 = 0,
0,
IF(P83 = (O$7+P$7),1,0))</f>
        <v>0</v>
      </c>
      <c r="Q86" s="114">
        <f>IF(Q85 = 0,
0,
IF(Q83 = (Q$7+R$7),1,0))</f>
        <v>0</v>
      </c>
      <c r="R86" s="114">
        <f>IF(R85 = 0,
0,
IF(R83 = (Q$7+R$7),1,0))</f>
        <v>0</v>
      </c>
      <c r="S86" s="130"/>
      <c r="T86" s="114">
        <f>IF(T85 = 0,
0,
IF(T83 = (T$7+U$7),1,0))</f>
        <v>0</v>
      </c>
      <c r="U86" s="114">
        <f>IF(U85 = 0,
0,
IF(U83 = (T$7+U$7),1,0))</f>
        <v>0</v>
      </c>
      <c r="V86" s="114">
        <f>IF(V85 = 0,
0,
IF(V83 = (V$7+W$7),1,0))</f>
        <v>0</v>
      </c>
      <c r="W86" s="114">
        <f>IF(W85 = 0,
0,
IF(W83 = (V$7+W$7),1,0))</f>
        <v>0</v>
      </c>
      <c r="X86" s="114">
        <f>IF(X85 = 0,
0,
IF(X83 = (X$7+Y$7),1,0))</f>
        <v>0</v>
      </c>
      <c r="Y86" s="114">
        <f>IF(Y85 = 0,
0,
IF(Y83 = (X$7+Y$7),1,0))</f>
        <v>0</v>
      </c>
      <c r="Z86" s="114">
        <f>IF(Z85 = 0,
0,
IF(Z83 = (Z$7+AA$7),1,0))</f>
        <v>1</v>
      </c>
      <c r="AA86" s="114">
        <f>IF(AA85 = 0,
0,
IF(AA83 = (Z$7+AA$7),1,0))</f>
        <v>0</v>
      </c>
      <c r="AB86" s="130"/>
      <c r="AC86" s="114">
        <f>IF(AC85 = 0,
0,
IF(AC83 = (AC$7+AD$7),1,0))</f>
        <v>0</v>
      </c>
      <c r="AD86" s="114">
        <f>IF(AD85 = 0,
0,
IF(AD83 = (AC$7+AD$7),1,0))</f>
        <v>0</v>
      </c>
      <c r="AE86" s="114">
        <f>IF(AE85 = 0,
0,
IF(AE83 = (AE$7+AF$7),1,0))</f>
        <v>0</v>
      </c>
      <c r="AF86" s="114">
        <f>IF(AF85 = 0,
0,
IF(AF83 = (AE$7+AF$7),1,0))</f>
        <v>0</v>
      </c>
      <c r="AG86" s="130"/>
      <c r="AH86" s="114">
        <f>IF(AH85 = 0,
0,
IF(AH83 = (AH$7+AI$7),1,0))</f>
        <v>0</v>
      </c>
      <c r="AI86" s="114">
        <f>IF(AI85 = 0,
0,
IF(AI83 = (AH$7+AI$7),1,0))</f>
        <v>0</v>
      </c>
      <c r="AJ86" s="130"/>
      <c r="AK86" s="131">
        <f>SUM(C86:AI86)</f>
        <v>1</v>
      </c>
      <c r="AL86" s="119"/>
    </row>
    <row r="87" spans="1:38" s="27" customFormat="1" ht="12.75" customHeight="1" x14ac:dyDescent="0.2">
      <c r="A87" s="113">
        <f>RANK(AL87,$AL$11:$AL$98,)</f>
        <v>20</v>
      </c>
      <c r="B87" s="81" t="s">
        <v>78</v>
      </c>
      <c r="C87" s="46">
        <v>5</v>
      </c>
      <c r="D87" s="45"/>
      <c r="E87" s="44">
        <v>6</v>
      </c>
      <c r="F87" s="45"/>
      <c r="G87" s="48">
        <v>6</v>
      </c>
      <c r="H87" s="47"/>
      <c r="I87" s="44"/>
      <c r="J87" s="47">
        <v>6</v>
      </c>
      <c r="K87" s="49">
        <v>7</v>
      </c>
      <c r="L87" s="47"/>
      <c r="M87" s="44">
        <v>6</v>
      </c>
      <c r="N87" s="45"/>
      <c r="O87" s="44">
        <v>5</v>
      </c>
      <c r="P87" s="45"/>
      <c r="Q87" s="48"/>
      <c r="R87" s="50">
        <v>6</v>
      </c>
      <c r="S87" s="118">
        <f>SUM(C88:R88)</f>
        <v>20</v>
      </c>
      <c r="T87" s="46"/>
      <c r="U87" s="47">
        <v>6</v>
      </c>
      <c r="V87" s="44">
        <v>6</v>
      </c>
      <c r="W87" s="47"/>
      <c r="X87" s="49"/>
      <c r="Y87" s="45">
        <v>5</v>
      </c>
      <c r="Z87" s="48"/>
      <c r="AA87" s="47">
        <v>6</v>
      </c>
      <c r="AB87" s="118">
        <f>SUM(T88:AA88)</f>
        <v>8</v>
      </c>
      <c r="AC87" s="48"/>
      <c r="AD87" s="47">
        <v>5</v>
      </c>
      <c r="AE87" s="49"/>
      <c r="AF87" s="47">
        <v>5</v>
      </c>
      <c r="AG87" s="118">
        <f>SUM(AC88:AF88)</f>
        <v>19</v>
      </c>
      <c r="AH87" s="97"/>
      <c r="AI87" s="58">
        <v>6</v>
      </c>
      <c r="AJ87" s="118">
        <f>AH88</f>
        <v>24</v>
      </c>
      <c r="AK87" s="107">
        <f>MAX($AL$11:$AL$98) - AL87</f>
        <v>66</v>
      </c>
      <c r="AL87" s="118">
        <f>$S87+$AB87+$AG87+$AJ87</f>
        <v>71</v>
      </c>
    </row>
    <row r="88" spans="1:38" s="27" customFormat="1" hidden="1" x14ac:dyDescent="0.2">
      <c r="A88" s="113" t="e">
        <f>RANK(AL88,$AL$11:$AL$98,)</f>
        <v>#N/A</v>
      </c>
      <c r="B88" s="95"/>
      <c r="C88" s="122">
        <f>(IF($C87&lt;&gt;"",($C$7*$O$105)+IF($C$7=4,($O$103)+IF($C87=$C$7+$D$7,$O$104,0),0),0)+IF($D87&lt;&gt;"",($D$7*$O$105)+IF($D$7=4,($O$103)+IF($D87=$C$7+$D$7,$O$104,0),0),0))</f>
        <v>0</v>
      </c>
      <c r="D88" s="123"/>
      <c r="E88" s="121">
        <f>(IF($E87&lt;&gt;"",($E$7*$O$105)+IF($E$7=4,($O$103)+IF($E87=$E$7+$F$7,$O$104,0),0),0)+IF($F87&lt;&gt;"",($F$7*$O$105)+IF($F$7=4,($O$103)+IF($F87=$E$7+$F$7,$O$104,0),0),0))</f>
        <v>9</v>
      </c>
      <c r="F88" s="123"/>
      <c r="G88" s="121">
        <f>(IF($G87&lt;&gt;"",($G$7*$O$105)+IF($G$7=4,($O$103)+IF($G87=$G$7+$H$7,$O$104,0),0),0)+IF($H87&lt;&gt;"",($H$7*$O$105)+IF($H$7=4,($O$103)+IF($H87=$G$7+$H$7,$O$104,0),0),0))</f>
        <v>3</v>
      </c>
      <c r="H88" s="123"/>
      <c r="I88" s="124">
        <f>(IF($I87&lt;&gt;"",($I$7*$O$105)+IF($I$7=4,($O$103)+IF($I87=$I$7+$J$7,$O$104,0),0),0)+IF($J87&lt;&gt;"",($J$7*$O$105)+IF($J$7=4,($O$103)+IF($J87=$I$7+$J$7,$O$104,0),0),0))</f>
        <v>0</v>
      </c>
      <c r="J88" s="125"/>
      <c r="K88" s="126">
        <f>(IF($K87&lt;&gt;"",($K$7*$O$105)+IF($K$7=4,($O$103)+IF($K87=$K$7+$L$7,$O$104,0),0),0)+IF($L87&lt;&gt;"",($L$7*$O$105)+IF($L$7=4,($O$103)+IF($L87=$K$7+$L$7,$O$104,0),0),0))</f>
        <v>1</v>
      </c>
      <c r="L88" s="123"/>
      <c r="M88" s="121">
        <f>(IF($M87&lt;&gt;"",($M$7*$O$105)+IF($M$7=4,($O$103)+IF($M87=$M$7+$N$7,$O$104,0),0),0)+IF($N87&lt;&gt;"",($N$7*$O$105)+IF($N$7=4,($O$103)+IF($N87=$M$7+$N$7,$O$104,0),0),0))</f>
        <v>2</v>
      </c>
      <c r="N88" s="123"/>
      <c r="O88" s="124">
        <f>(IF($O87&lt;&gt;"",($O$7*$O$105)+IF($O$7=4,($O$103)+IF($O87=$O$7+$P$7,$O$104,0),0),0)+IF($P87&lt;&gt;"",($P$7*$O$105)+IF($P$7=4,($O$103)+IF($P87=$O$7+$P$7,$O$104,0),0),0))</f>
        <v>2</v>
      </c>
      <c r="P88" s="123"/>
      <c r="Q88" s="124">
        <f>(IF($Q87&lt;&gt;"",($Q$7*$O$105)+IF($Q$7=4,($O$103)+IF($Q87=$Q$7+$R$7,$O$104,0),0),0)+IF($R87&lt;&gt;"",($R$7*$O$105)+IF($R$7=4,($O$103)+IF($R87=$Q$7+$R$7,$O$104,0),0),0))</f>
        <v>3</v>
      </c>
      <c r="R88" s="127"/>
      <c r="S88" s="117"/>
      <c r="T88" s="122">
        <f>(IF($T87&lt;&gt;"",($T$7*$P$105)+IF($T$7=4,($P$103)+IF($T87=$T$7+$U$7,$P$104,0),0),0)+IF($U87&lt;&gt;"",($U$7*$P$105)+IF($U$7=4,($P$103)+IF($U87=$T$7+$U$7,$P$104,0),0),0))</f>
        <v>2</v>
      </c>
      <c r="U88" s="122"/>
      <c r="V88" s="122">
        <f>(IF($V87&lt;&gt;"",($V$7*$P$105)+IF($V$7=4,($P$103)+IF($V87=$V$7+$W$7,$P$104,0),0),0)+IF($W87&lt;&gt;"",($W$7*$P$105)+IF($W$7=4,($P$103)+IF($W87=$V$7+$W$7,$P$104,0),0),0))</f>
        <v>0</v>
      </c>
      <c r="W88" s="122"/>
      <c r="X88" s="122">
        <f>(IF($X87&lt;&gt;"",($X$7*$P$105)+IF($X$7=4,($P$103)+IF($X87=$X$7+$Y$7,$P$104,0),0),0)+IF($Y87&lt;&gt;"",($Y$7*$P$105)+IF($Y$7=4,($P$103)+IF($Y87=$X$7+$Y$7,$P$104,0),0),0))</f>
        <v>3</v>
      </c>
      <c r="Y88" s="59"/>
      <c r="Z88" s="122">
        <f>(IF($Z87&lt;&gt;"",($Z$7*$P$105)+IF($Z$7=4,($P$103)+IF($Z87=$Z$7+$AA$7,$P$104,0),0),0)+IF($AA87&lt;&gt;"",($AA$7*$P$105)+IF($AA$7=4,($P$103)+IF($AA87=$Z$7+$AA$7,$P$104,0),0),0))</f>
        <v>3</v>
      </c>
      <c r="AA88" s="60"/>
      <c r="AB88" s="117"/>
      <c r="AC88" s="122">
        <f>(IF($AC87&lt;&gt;"",($AC$7*$Q$105)+IF($AC$7=4,($Q$103)+IF($AC87=$AC$7+$AD$7,$Q$104,0),0),0)+IF($AD87&lt;&gt;"",($AD$7*$Q$105)+IF($AD$7=4,($Q$103)+IF($AD87=$AC$7+$AD$7,$Q$104,0),0),0))</f>
        <v>0</v>
      </c>
      <c r="AD88" s="122"/>
      <c r="AE88" s="122">
        <f>(IF($AE87&lt;&gt;"",($AE$7*$Q$105)+IF($AE$7=4,($Q$103)+IF($AE87=$AE$7+$AF$7,$Q$104,0),0),0)+IF($AF87&lt;&gt;"",($AF$7*$Q$105)+IF($AF$7=4,($Q$103)+IF($AF87=$AE$7+$AF$7,$Q$104,0),0),0))</f>
        <v>19</v>
      </c>
      <c r="AF88" s="82"/>
      <c r="AG88" s="117"/>
      <c r="AH88" s="122">
        <f>(IF($AH87&lt;&gt;"",($AH$7*$Q$105)+IF($AH$7=4,($R$103)+IF($AH87=$AH$7+$AI$7,$R$104,0),0),0)+IF($AI87&lt;&gt;"",($AI$7*$R$105)+IF($AI$7=4,($R$103)+IF($AI87=$AH$7+$AI$7,$R$104,0),0),0))</f>
        <v>24</v>
      </c>
      <c r="AI88" s="128"/>
      <c r="AJ88" s="117"/>
      <c r="AK88" s="106"/>
      <c r="AL88" s="117"/>
    </row>
    <row r="89" spans="1:38" s="27" customFormat="1" hidden="1" x14ac:dyDescent="0.2">
      <c r="A89" s="96"/>
      <c r="B89" s="120" t="s">
        <v>52</v>
      </c>
      <c r="C89" s="114">
        <f>IF(ISBLANK(C87),
0,
IF(C$7= 4, 1, 0))</f>
        <v>0</v>
      </c>
      <c r="D89" s="114">
        <f>IF(ISBLANK(D87),
0,
IF(D$7 = 4, 1, 0))</f>
        <v>0</v>
      </c>
      <c r="E89" s="114">
        <f>IF(ISBLANK(E87),
0,
IF(E$7= 4, 1, 0))</f>
        <v>1</v>
      </c>
      <c r="F89" s="114">
        <f>IF(ISBLANK(F87),
0,
IF(F$7 = 4, 1, 0))</f>
        <v>0</v>
      </c>
      <c r="G89" s="114">
        <f>IF(ISBLANK(G87),
0,
IF(G$7= 4, 1, 0))</f>
        <v>0</v>
      </c>
      <c r="H89" s="114">
        <f>IF(ISBLANK(H87),
0,
IF(H$7 = 4, 1, 0))</f>
        <v>0</v>
      </c>
      <c r="I89" s="114">
        <f>IF(ISBLANK(I87),
0,
IF(I$7= 4, 1, 0))</f>
        <v>0</v>
      </c>
      <c r="J89" s="114">
        <f>IF(ISBLANK(J87),
0,
IF(J$7 = 4, 1, 0))</f>
        <v>0</v>
      </c>
      <c r="K89" s="114">
        <f>IF(ISBLANK(K87),
0,
IF(K$7= 4, 1, 0))</f>
        <v>0</v>
      </c>
      <c r="L89" s="114">
        <f>IF(ISBLANK(L87),
0,
IF(L$7 = 4, 1, 0))</f>
        <v>0</v>
      </c>
      <c r="M89" s="114">
        <f>IF(ISBLANK(M87),
0,
IF(M$7= 4, 1, 0))</f>
        <v>0</v>
      </c>
      <c r="N89" s="114">
        <f>IF(ISBLANK(N87),
0,
IF(N$7 = 4, 1, 0))</f>
        <v>0</v>
      </c>
      <c r="O89" s="114">
        <f>IF(ISBLANK(O87),
0,
IF(O$7= 4, 1, 0))</f>
        <v>0</v>
      </c>
      <c r="P89" s="114">
        <f>IF(ISBLANK(P87),
0,
IF(P$7 = 4, 1, 0))</f>
        <v>0</v>
      </c>
      <c r="Q89" s="114">
        <f>IF(ISBLANK(Q87),
0,
IF(Q$7= 4, 1, 0))</f>
        <v>0</v>
      </c>
      <c r="R89" s="114">
        <f>IF(ISBLANK(R87),
0,
IF(R$7 = 4, 1, 0))</f>
        <v>0</v>
      </c>
      <c r="S89" s="130"/>
      <c r="T89" s="114">
        <f>IF(ISBLANK(T87),
0,
IF(T$7= 4, 1, 0))</f>
        <v>0</v>
      </c>
      <c r="U89" s="114">
        <f>IF(ISBLANK(U87),
0,
IF(U$7 = 4, 1, 0))</f>
        <v>0</v>
      </c>
      <c r="V89" s="114">
        <f>IF(ISBLANK(V87),
0,
IF(V$7= 4, 1, 0))</f>
        <v>0</v>
      </c>
      <c r="W89" s="114">
        <f>IF(ISBLANK(W87),
0,
IF(W$7 = 4, 1, 0))</f>
        <v>0</v>
      </c>
      <c r="X89" s="114">
        <f>IF(ISBLANK(X87),
0,
IF(X$7= 4, 1, 0))</f>
        <v>0</v>
      </c>
      <c r="Y89" s="114">
        <f>IF(ISBLANK(Y87),
0,
IF(Y$7 = 4, 1, 0))</f>
        <v>0</v>
      </c>
      <c r="Z89" s="114">
        <f>IF(ISBLANK(Z87),
0,
IF(Z$7= 4, 1, 0))</f>
        <v>0</v>
      </c>
      <c r="AA89" s="114">
        <f>IF(ISBLANK(AA87),
0,
IF(AA$7 = 4, 1, 0))</f>
        <v>0</v>
      </c>
      <c r="AB89" s="130"/>
      <c r="AC89" s="114">
        <f>IF(ISBLANK(AC87),
0,
IF(AC$7= 4, 1, 0))</f>
        <v>0</v>
      </c>
      <c r="AD89" s="114">
        <f>IF(ISBLANK(AD87),
0,
IF(AD$7 = 4, 1, 0))</f>
        <v>0</v>
      </c>
      <c r="AE89" s="114">
        <f>IF(ISBLANK(AE87),
0,
IF(AE$7= 4, 1, 0))</f>
        <v>0</v>
      </c>
      <c r="AF89" s="114">
        <f>IF(ISBLANK(AF87),
0,
IF(AF$7 = 4, 1, 0))</f>
        <v>1</v>
      </c>
      <c r="AG89" s="130"/>
      <c r="AH89" s="114">
        <f>IF(ISBLANK(AH87),
0,
IF(AH$7= 4, 1, 0))</f>
        <v>0</v>
      </c>
      <c r="AI89" s="114">
        <f>IF(ISBLANK(AI87),
0,
IF(AI$7 = 4, 1, 0))</f>
        <v>1</v>
      </c>
      <c r="AJ89" s="130"/>
      <c r="AK89" s="131">
        <f>SUM(C89:AI89)</f>
        <v>3</v>
      </c>
      <c r="AL89" s="119"/>
    </row>
    <row r="90" spans="1:38" s="27" customFormat="1" hidden="1" x14ac:dyDescent="0.2">
      <c r="A90" s="96"/>
      <c r="B90" s="120" t="s">
        <v>53</v>
      </c>
      <c r="C90" s="114">
        <f>IF(C89 = 0,
0,
IF(C87 = (C$7+D$7),1,0))</f>
        <v>0</v>
      </c>
      <c r="D90" s="114">
        <f>IF(D89 = 0,
0,
IF(D87 = (C$7+D$7),1,0))</f>
        <v>0</v>
      </c>
      <c r="E90" s="114">
        <f>IF(E89 = 0,
0,
IF(E87 = (E$7+F$7),1,0))</f>
        <v>0</v>
      </c>
      <c r="F90" s="114">
        <f>IF(F89 = 0,
0,
IF(F87 = (E$7+F$7),1,0))</f>
        <v>0</v>
      </c>
      <c r="G90" s="114">
        <f>IF(G89 = 0,
0,
IF(G87 = (G$7+H$7),1,0))</f>
        <v>0</v>
      </c>
      <c r="H90" s="114">
        <f>IF(H89 = 0,
0,
IF(H87 = (G$7+H$7),1,0))</f>
        <v>0</v>
      </c>
      <c r="I90" s="114">
        <f>IF(I89 = 0,
0,
IF(I87 = (I$7+J$7),1,0))</f>
        <v>0</v>
      </c>
      <c r="J90" s="114">
        <f>IF(J89 = 0,
0,
IF(J87 = (I$7+J$7),1,0))</f>
        <v>0</v>
      </c>
      <c r="K90" s="114">
        <f>IF(K89 = 0,
0,
IF(K87 = (K$7+L$7),1,0))</f>
        <v>0</v>
      </c>
      <c r="L90" s="114">
        <f>IF(L89 = 0,
0,
IF(L87 = (K$7+L$7),1,0))</f>
        <v>0</v>
      </c>
      <c r="M90" s="114">
        <f>IF(M89 = 0,
0,
IF(M87 = (M$7+N$7),1,0))</f>
        <v>0</v>
      </c>
      <c r="N90" s="114">
        <f>IF(N89 = 0,
0,
IF(N87 = (M$7+N$7),1,0))</f>
        <v>0</v>
      </c>
      <c r="O90" s="114">
        <f>IF(O89 = 0,
0,
IF(O87 = (O$7+P$7),1,0))</f>
        <v>0</v>
      </c>
      <c r="P90" s="114">
        <f>IF(P89 = 0,
0,
IF(P87 = (O$7+P$7),1,0))</f>
        <v>0</v>
      </c>
      <c r="Q90" s="114">
        <f>IF(Q89 = 0,
0,
IF(Q87 = (Q$7+R$7),1,0))</f>
        <v>0</v>
      </c>
      <c r="R90" s="114">
        <f>IF(R89 = 0,
0,
IF(R87 = (Q$7+R$7),1,0))</f>
        <v>0</v>
      </c>
      <c r="S90" s="130"/>
      <c r="T90" s="114">
        <f>IF(T89 = 0,
0,
IF(T87 = (T$7+U$7),1,0))</f>
        <v>0</v>
      </c>
      <c r="U90" s="114">
        <f>IF(U89 = 0,
0,
IF(U87 = (T$7+U$7),1,0))</f>
        <v>0</v>
      </c>
      <c r="V90" s="114">
        <f>IF(V89 = 0,
0,
IF(V87 = (V$7+W$7),1,0))</f>
        <v>0</v>
      </c>
      <c r="W90" s="114">
        <f>IF(W89 = 0,
0,
IF(W87 = (V$7+W$7),1,0))</f>
        <v>0</v>
      </c>
      <c r="X90" s="114">
        <f>IF(X89 = 0,
0,
IF(X87 = (X$7+Y$7),1,0))</f>
        <v>0</v>
      </c>
      <c r="Y90" s="114">
        <f>IF(Y89 = 0,
0,
IF(Y87 = (X$7+Y$7),1,0))</f>
        <v>0</v>
      </c>
      <c r="Z90" s="114">
        <f>IF(Z89 = 0,
0,
IF(Z87 = (Z$7+AA$7),1,0))</f>
        <v>0</v>
      </c>
      <c r="AA90" s="114">
        <f>IF(AA89 = 0,
0,
IF(AA87 = (Z$7+AA$7),1,0))</f>
        <v>0</v>
      </c>
      <c r="AB90" s="130"/>
      <c r="AC90" s="114">
        <f>IF(AC89 = 0,
0,
IF(AC87 = (AC$7+AD$7),1,0))</f>
        <v>0</v>
      </c>
      <c r="AD90" s="114">
        <f>IF(AD89 = 0,
0,
IF(AD87 = (AC$7+AD$7),1,0))</f>
        <v>0</v>
      </c>
      <c r="AE90" s="114">
        <f>IF(AE89 = 0,
0,
IF(AE87 = (AE$7+AF$7),1,0))</f>
        <v>0</v>
      </c>
      <c r="AF90" s="114">
        <f>IF(AF89 = 0,
0,
IF(AF87 = (AE$7+AF$7),1,0))</f>
        <v>0</v>
      </c>
      <c r="AG90" s="130"/>
      <c r="AH90" s="114">
        <f>IF(AH89 = 0,
0,
IF(AH87 = (AH$7+AI$7),1,0))</f>
        <v>0</v>
      </c>
      <c r="AI90" s="114">
        <f>IF(AI89 = 0,
0,
IF(AI87 = (AH$7+AI$7),1,0))</f>
        <v>0</v>
      </c>
      <c r="AJ90" s="130"/>
      <c r="AK90" s="131">
        <f>SUM(C90:AI90)</f>
        <v>0</v>
      </c>
      <c r="AL90" s="119"/>
    </row>
    <row r="91" spans="1:38" s="27" customFormat="1" ht="12.75" customHeight="1" x14ac:dyDescent="0.2">
      <c r="A91" s="201">
        <f>RANK(AL91,$AL$11:$AL$98,)</f>
        <v>21</v>
      </c>
      <c r="B91" s="202" t="s">
        <v>64</v>
      </c>
      <c r="C91" s="214">
        <v>5</v>
      </c>
      <c r="D91" s="215"/>
      <c r="E91" s="219"/>
      <c r="F91" s="215">
        <v>7</v>
      </c>
      <c r="G91" s="217">
        <v>4</v>
      </c>
      <c r="H91" s="218"/>
      <c r="I91" s="219"/>
      <c r="J91" s="218">
        <v>7</v>
      </c>
      <c r="K91" s="220">
        <v>6</v>
      </c>
      <c r="L91" s="218"/>
      <c r="M91" s="219">
        <v>6</v>
      </c>
      <c r="N91" s="215"/>
      <c r="O91" s="219">
        <v>7</v>
      </c>
      <c r="P91" s="215"/>
      <c r="Q91" s="217"/>
      <c r="R91" s="222">
        <v>6</v>
      </c>
      <c r="S91" s="224">
        <f>SUM(C92:R92)</f>
        <v>14</v>
      </c>
      <c r="T91" s="214"/>
      <c r="U91" s="218">
        <v>7</v>
      </c>
      <c r="V91" s="219">
        <v>5</v>
      </c>
      <c r="W91" s="218"/>
      <c r="X91" s="220">
        <v>6</v>
      </c>
      <c r="Y91" s="215"/>
      <c r="Z91" s="217">
        <v>6</v>
      </c>
      <c r="AA91" s="218"/>
      <c r="AB91" s="224">
        <f>SUM(T92:AA92)</f>
        <v>30</v>
      </c>
      <c r="AC91" s="217"/>
      <c r="AD91" s="218">
        <v>7</v>
      </c>
      <c r="AE91" s="220">
        <v>7</v>
      </c>
      <c r="AF91" s="218"/>
      <c r="AG91" s="224">
        <f>SUM(AC92:AF92)</f>
        <v>2</v>
      </c>
      <c r="AH91" s="228"/>
      <c r="AI91" s="225">
        <v>6</v>
      </c>
      <c r="AJ91" s="224">
        <f>AH92</f>
        <v>24</v>
      </c>
      <c r="AK91" s="226">
        <f>MAX($AL$11:$AL$98) - AL91</f>
        <v>67</v>
      </c>
      <c r="AL91" s="224">
        <f>$S91+$AB91+$AG91+$AJ91</f>
        <v>70</v>
      </c>
    </row>
    <row r="92" spans="1:38" s="27" customFormat="1" hidden="1" x14ac:dyDescent="0.2">
      <c r="A92" s="113" t="e">
        <f>RANK(AL92,$AL$11:$AL$98,)</f>
        <v>#N/A</v>
      </c>
      <c r="B92" s="95"/>
      <c r="C92" s="122">
        <f>(IF($C91&lt;&gt;"",($C$7*$O$105)+IF($C$7=4,($O$103)+IF($C91=$C$7+$D$7,$O$104,0),0),0)+IF($D91&lt;&gt;"",($D$7*$O$105)+IF($D$7=4,($O$103)+IF($D91=$C$7+$D$7,$O$104,0),0),0))</f>
        <v>0</v>
      </c>
      <c r="D92" s="123"/>
      <c r="E92" s="121">
        <f>(IF($E91&lt;&gt;"",($E$7*$O$105)+IF($E$7=4,($O$103)+IF($E91=$E$7+$F$7,$O$104,0),0),0)+IF($F91&lt;&gt;"",($F$7*$O$105)+IF($F$7=4,($O$103)+IF($F91=$E$7+$F$7,$O$104,0),0),0))</f>
        <v>3</v>
      </c>
      <c r="F92" s="123"/>
      <c r="G92" s="121">
        <f>(IF($G91&lt;&gt;"",($G$7*$O$105)+IF($G$7=4,($O$103)+IF($G91=$G$7+$H$7,$O$104,0),0),0)+IF($H91&lt;&gt;"",($H$7*$O$105)+IF($H$7=4,($O$103)+IF($H91=$G$7+$H$7,$O$104,0),0),0))</f>
        <v>3</v>
      </c>
      <c r="H92" s="123"/>
      <c r="I92" s="124">
        <f>(IF($I91&lt;&gt;"",($I$7*$O$105)+IF($I$7=4,($O$103)+IF($I91=$I$7+$J$7,$O$104,0),0),0)+IF($J91&lt;&gt;"",($J$7*$O$105)+IF($J$7=4,($O$103)+IF($J91=$I$7+$J$7,$O$104,0),0),0))</f>
        <v>0</v>
      </c>
      <c r="J92" s="125"/>
      <c r="K92" s="126">
        <f>(IF($K91&lt;&gt;"",($K$7*$O$105)+IF($K$7=4,($O$103)+IF($K91=$K$7+$L$7,$O$104,0),0),0)+IF($L91&lt;&gt;"",($L$7*$O$105)+IF($L$7=4,($O$103)+IF($L91=$K$7+$L$7,$O$104,0),0),0))</f>
        <v>1</v>
      </c>
      <c r="L92" s="123"/>
      <c r="M92" s="121">
        <f>(IF($M91&lt;&gt;"",($M$7*$O$105)+IF($M$7=4,($O$103)+IF($M91=$M$7+$N$7,$O$104,0),0),0)+IF($N91&lt;&gt;"",($N$7*$O$105)+IF($N$7=4,($O$103)+IF($N91=$M$7+$N$7,$O$104,0),0),0))</f>
        <v>2</v>
      </c>
      <c r="N92" s="123"/>
      <c r="O92" s="124">
        <f>(IF($O91&lt;&gt;"",($O$7*$O$105)+IF($O$7=4,($O$103)+IF($O91=$O$7+$P$7,$O$104,0),0),0)+IF($P91&lt;&gt;"",($P$7*$O$105)+IF($P$7=4,($O$103)+IF($P91=$O$7+$P$7,$O$104,0),0),0))</f>
        <v>2</v>
      </c>
      <c r="P92" s="123"/>
      <c r="Q92" s="124">
        <f>(IF($Q91&lt;&gt;"",($Q$7*$O$105)+IF($Q$7=4,($O$103)+IF($Q91=$Q$7+$R$7,$O$104,0),0),0)+IF($R91&lt;&gt;"",($R$7*$O$105)+IF($R$7=4,($O$103)+IF($R91=$Q$7+$R$7,$O$104,0),0),0))</f>
        <v>3</v>
      </c>
      <c r="R92" s="127"/>
      <c r="S92" s="117"/>
      <c r="T92" s="122">
        <f>(IF($T91&lt;&gt;"",($T$7*$P$105)+IF($T$7=4,($P$103)+IF($T91=$T$7+$U$7,$P$104,0),0),0)+IF($U91&lt;&gt;"",($U$7*$P$105)+IF($U$7=4,($P$103)+IF($U91=$T$7+$U$7,$P$104,0),0),0))</f>
        <v>2</v>
      </c>
      <c r="U92" s="122"/>
      <c r="V92" s="122">
        <f>(IF($V91&lt;&gt;"",($V$7*$P$105)+IF($V$7=4,($P$103)+IF($V91=$V$7+$W$7,$P$104,0),0),0)+IF($W91&lt;&gt;"",($W$7*$P$105)+IF($W$7=4,($P$103)+IF($W91=$V$7+$W$7,$P$104,0),0),0))</f>
        <v>0</v>
      </c>
      <c r="W92" s="122"/>
      <c r="X92" s="122">
        <f>(IF($X91&lt;&gt;"",($X$7*$P$105)+IF($X$7=4,($P$103)+IF($X91=$X$7+$Y$7,$P$104,0),0),0)+IF($Y91&lt;&gt;"",($Y$7*$P$105)+IF($Y$7=4,($P$103)+IF($Y91=$X$7+$Y$7,$P$104,0),0),0))</f>
        <v>14</v>
      </c>
      <c r="Y92" s="59"/>
      <c r="Z92" s="122">
        <f>(IF($Z91&lt;&gt;"",($Z$7*$P$105)+IF($Z$7=4,($P$103)+IF($Z91=$Z$7+$AA$7,$P$104,0),0),0)+IF($AA91&lt;&gt;"",($AA$7*$P$105)+IF($AA$7=4,($P$103)+IF($AA91=$Z$7+$AA$7,$P$104,0),0),0))</f>
        <v>14</v>
      </c>
      <c r="AA92" s="60"/>
      <c r="AB92" s="117"/>
      <c r="AC92" s="122">
        <f>(IF($AC91&lt;&gt;"",($AC$7*$Q$105)+IF($AC$7=4,($Q$103)+IF($AC91=$AC$7+$AD$7,$Q$104,0),0),0)+IF($AD91&lt;&gt;"",($AD$7*$Q$105)+IF($AD$7=4,($Q$103)+IF($AD91=$AC$7+$AD$7,$Q$104,0),0),0))</f>
        <v>0</v>
      </c>
      <c r="AD92" s="122"/>
      <c r="AE92" s="122">
        <f>(IF($AE91&lt;&gt;"",($AE$7*$Q$105)+IF($AE$7=4,($Q$103)+IF($AE91=$AE$7+$AF$7,$Q$104,0),0),0)+IF($AF91&lt;&gt;"",($AF$7*$Q$105)+IF($AF$7=4,($Q$103)+IF($AF91=$AE$7+$AF$7,$Q$104,0),0),0))</f>
        <v>2</v>
      </c>
      <c r="AF92" s="82"/>
      <c r="AG92" s="117"/>
      <c r="AH92" s="122">
        <f>(IF($AH91&lt;&gt;"",($AH$7*$Q$105)+IF($AH$7=4,($R$103)+IF($AH91=$AH$7+$AI$7,$R$104,0),0),0)+IF($AI91&lt;&gt;"",($AI$7*$R$105)+IF($AI$7=4,($R$103)+IF($AI91=$AH$7+$AI$7,$R$104,0),0),0))</f>
        <v>24</v>
      </c>
      <c r="AI92" s="128"/>
      <c r="AJ92" s="117"/>
      <c r="AK92" s="106"/>
      <c r="AL92" s="117"/>
    </row>
    <row r="93" spans="1:38" s="27" customFormat="1" hidden="1" x14ac:dyDescent="0.2">
      <c r="A93" s="96"/>
      <c r="B93" s="120" t="s">
        <v>52</v>
      </c>
      <c r="C93" s="114">
        <f>IF(ISBLANK(C91),
0,
IF(C$7= 4, 1, 0))</f>
        <v>0</v>
      </c>
      <c r="D93" s="114">
        <f>IF(ISBLANK(D91),
0,
IF(D$7 = 4, 1, 0))</f>
        <v>0</v>
      </c>
      <c r="E93" s="114">
        <f>IF(ISBLANK(E91),
0,
IF(E$7= 4, 1, 0))</f>
        <v>0</v>
      </c>
      <c r="F93" s="114">
        <f>IF(ISBLANK(F91),
0,
IF(F$7 = 4, 1, 0))</f>
        <v>0</v>
      </c>
      <c r="G93" s="114">
        <f>IF(ISBLANK(G91),
0,
IF(G$7= 4, 1, 0))</f>
        <v>0</v>
      </c>
      <c r="H93" s="114">
        <f>IF(ISBLANK(H91),
0,
IF(H$7 = 4, 1, 0))</f>
        <v>0</v>
      </c>
      <c r="I93" s="114">
        <f>IF(ISBLANK(I91),
0,
IF(I$7= 4, 1, 0))</f>
        <v>0</v>
      </c>
      <c r="J93" s="114">
        <f>IF(ISBLANK(J91),
0,
IF(J$7 = 4, 1, 0))</f>
        <v>0</v>
      </c>
      <c r="K93" s="114">
        <f>IF(ISBLANK(K91),
0,
IF(K$7= 4, 1, 0))</f>
        <v>0</v>
      </c>
      <c r="L93" s="114">
        <f>IF(ISBLANK(L91),
0,
IF(L$7 = 4, 1, 0))</f>
        <v>0</v>
      </c>
      <c r="M93" s="114">
        <f>IF(ISBLANK(M91),
0,
IF(M$7= 4, 1, 0))</f>
        <v>0</v>
      </c>
      <c r="N93" s="114">
        <f>IF(ISBLANK(N91),
0,
IF(N$7 = 4, 1, 0))</f>
        <v>0</v>
      </c>
      <c r="O93" s="114">
        <f>IF(ISBLANK(O91),
0,
IF(O$7= 4, 1, 0))</f>
        <v>0</v>
      </c>
      <c r="P93" s="114">
        <f>IF(ISBLANK(P91),
0,
IF(P$7 = 4, 1, 0))</f>
        <v>0</v>
      </c>
      <c r="Q93" s="114">
        <f>IF(ISBLANK(Q91),
0,
IF(Q$7= 4, 1, 0))</f>
        <v>0</v>
      </c>
      <c r="R93" s="114">
        <f>IF(ISBLANK(R91),
0,
IF(R$7 = 4, 1, 0))</f>
        <v>0</v>
      </c>
      <c r="S93" s="130"/>
      <c r="T93" s="114">
        <f>IF(ISBLANK(T91),
0,
IF(T$7= 4, 1, 0))</f>
        <v>0</v>
      </c>
      <c r="U93" s="114">
        <f>IF(ISBLANK(U91),
0,
IF(U$7 = 4, 1, 0))</f>
        <v>0</v>
      </c>
      <c r="V93" s="114">
        <f>IF(ISBLANK(V91),
0,
IF(V$7= 4, 1, 0))</f>
        <v>0</v>
      </c>
      <c r="W93" s="114">
        <f>IF(ISBLANK(W91),
0,
IF(W$7 = 4, 1, 0))</f>
        <v>0</v>
      </c>
      <c r="X93" s="114">
        <f>IF(ISBLANK(X91),
0,
IF(X$7= 4, 1, 0))</f>
        <v>1</v>
      </c>
      <c r="Y93" s="114">
        <f>IF(ISBLANK(Y91),
0,
IF(Y$7 = 4, 1, 0))</f>
        <v>0</v>
      </c>
      <c r="Z93" s="114">
        <f>IF(ISBLANK(Z91),
0,
IF(Z$7= 4, 1, 0))</f>
        <v>1</v>
      </c>
      <c r="AA93" s="114">
        <f>IF(ISBLANK(AA91),
0,
IF(AA$7 = 4, 1, 0))</f>
        <v>0</v>
      </c>
      <c r="AB93" s="130"/>
      <c r="AC93" s="114">
        <f>IF(ISBLANK(AC91),
0,
IF(AC$7= 4, 1, 0))</f>
        <v>0</v>
      </c>
      <c r="AD93" s="114">
        <f>IF(ISBLANK(AD91),
0,
IF(AD$7 = 4, 1, 0))</f>
        <v>0</v>
      </c>
      <c r="AE93" s="114">
        <f>IF(ISBLANK(AE91),
0,
IF(AE$7= 4, 1, 0))</f>
        <v>0</v>
      </c>
      <c r="AF93" s="114">
        <f>IF(ISBLANK(AF91),
0,
IF(AF$7 = 4, 1, 0))</f>
        <v>0</v>
      </c>
      <c r="AG93" s="130"/>
      <c r="AH93" s="114">
        <f>IF(ISBLANK(AH91),
0,
IF(AH$7= 4, 1, 0))</f>
        <v>0</v>
      </c>
      <c r="AI93" s="114">
        <f>IF(ISBLANK(AI91),
0,
IF(AI$7 = 4, 1, 0))</f>
        <v>1</v>
      </c>
      <c r="AJ93" s="130"/>
      <c r="AK93" s="131">
        <f>SUM(C93:AI93)</f>
        <v>3</v>
      </c>
      <c r="AL93" s="119"/>
    </row>
    <row r="94" spans="1:38" s="27" customFormat="1" hidden="1" x14ac:dyDescent="0.2">
      <c r="A94" s="96"/>
      <c r="B94" s="120" t="s">
        <v>53</v>
      </c>
      <c r="C94" s="114">
        <f>IF(C93 = 0,
0,
IF(C91 = (C$7+D$7),1,0))</f>
        <v>0</v>
      </c>
      <c r="D94" s="114">
        <f>IF(D93 = 0,
0,
IF(D91 = (C$7+D$7),1,0))</f>
        <v>0</v>
      </c>
      <c r="E94" s="114">
        <f>IF(E93 = 0,
0,
IF(E91 = (E$7+F$7),1,0))</f>
        <v>0</v>
      </c>
      <c r="F94" s="114">
        <f>IF(F93 = 0,
0,
IF(F91 = (E$7+F$7),1,0))</f>
        <v>0</v>
      </c>
      <c r="G94" s="114">
        <f>IF(G93 = 0,
0,
IF(G91 = (G$7+H$7),1,0))</f>
        <v>0</v>
      </c>
      <c r="H94" s="114">
        <f>IF(H93 = 0,
0,
IF(H91 = (G$7+H$7),1,0))</f>
        <v>0</v>
      </c>
      <c r="I94" s="114">
        <f>IF(I93 = 0,
0,
IF(I91 = (I$7+J$7),1,0))</f>
        <v>0</v>
      </c>
      <c r="J94" s="114">
        <f>IF(J93 = 0,
0,
IF(J91 = (I$7+J$7),1,0))</f>
        <v>0</v>
      </c>
      <c r="K94" s="114">
        <f>IF(K93 = 0,
0,
IF(K91 = (K$7+L$7),1,0))</f>
        <v>0</v>
      </c>
      <c r="L94" s="114">
        <f>IF(L93 = 0,
0,
IF(L91 = (K$7+L$7),1,0))</f>
        <v>0</v>
      </c>
      <c r="M94" s="114">
        <f>IF(M93 = 0,
0,
IF(M91 = (M$7+N$7),1,0))</f>
        <v>0</v>
      </c>
      <c r="N94" s="114">
        <f>IF(N93 = 0,
0,
IF(N91 = (M$7+N$7),1,0))</f>
        <v>0</v>
      </c>
      <c r="O94" s="114">
        <f>IF(O93 = 0,
0,
IF(O91 = (O$7+P$7),1,0))</f>
        <v>0</v>
      </c>
      <c r="P94" s="114">
        <f>IF(P93 = 0,
0,
IF(P91 = (O$7+P$7),1,0))</f>
        <v>0</v>
      </c>
      <c r="Q94" s="114">
        <f>IF(Q93 = 0,
0,
IF(Q91 = (Q$7+R$7),1,0))</f>
        <v>0</v>
      </c>
      <c r="R94" s="114">
        <f>IF(R93 = 0,
0,
IF(R91 = (Q$7+R$7),1,0))</f>
        <v>0</v>
      </c>
      <c r="S94" s="130"/>
      <c r="T94" s="114">
        <f>IF(T93 = 0,
0,
IF(T91 = (T$7+U$7),1,0))</f>
        <v>0</v>
      </c>
      <c r="U94" s="114">
        <f>IF(U93 = 0,
0,
IF(U91 = (T$7+U$7),1,0))</f>
        <v>0</v>
      </c>
      <c r="V94" s="114">
        <f>IF(V93 = 0,
0,
IF(V91 = (V$7+W$7),1,0))</f>
        <v>0</v>
      </c>
      <c r="W94" s="114">
        <f>IF(W93 = 0,
0,
IF(W91 = (V$7+W$7),1,0))</f>
        <v>0</v>
      </c>
      <c r="X94" s="114">
        <f>IF(X93 = 0,
0,
IF(X91 = (X$7+Y$7),1,0))</f>
        <v>0</v>
      </c>
      <c r="Y94" s="114">
        <f>IF(Y93 = 0,
0,
IF(Y91 = (X$7+Y$7),1,0))</f>
        <v>0</v>
      </c>
      <c r="Z94" s="114">
        <f>IF(Z93 = 0,
0,
IF(Z91 = (Z$7+AA$7),1,0))</f>
        <v>0</v>
      </c>
      <c r="AA94" s="114">
        <f>IF(AA93 = 0,
0,
IF(AA91 = (Z$7+AA$7),1,0))</f>
        <v>0</v>
      </c>
      <c r="AB94" s="130"/>
      <c r="AC94" s="114">
        <f>IF(AC93 = 0,
0,
IF(AC91 = (AC$7+AD$7),1,0))</f>
        <v>0</v>
      </c>
      <c r="AD94" s="114">
        <f>IF(AD93 = 0,
0,
IF(AD91 = (AC$7+AD$7),1,0))</f>
        <v>0</v>
      </c>
      <c r="AE94" s="114">
        <f>IF(AE93 = 0,
0,
IF(AE91 = (AE$7+AF$7),1,0))</f>
        <v>0</v>
      </c>
      <c r="AF94" s="114">
        <f>IF(AF93 = 0,
0,
IF(AF91 = (AE$7+AF$7),1,0))</f>
        <v>0</v>
      </c>
      <c r="AG94" s="130"/>
      <c r="AH94" s="114">
        <f>IF(AH93 = 0,
0,
IF(AH91 = (AH$7+AI$7),1,0))</f>
        <v>0</v>
      </c>
      <c r="AI94" s="114">
        <f>IF(AI93 = 0,
0,
IF(AI91 = (AH$7+AI$7),1,0))</f>
        <v>0</v>
      </c>
      <c r="AJ94" s="130"/>
      <c r="AK94" s="131">
        <f>SUM(C94:AI94)</f>
        <v>0</v>
      </c>
      <c r="AL94" s="119"/>
    </row>
    <row r="95" spans="1:38" s="27" customFormat="1" ht="12.75" customHeight="1" thickBot="1" x14ac:dyDescent="0.25">
      <c r="A95" s="113">
        <f>RANK(AL95,$AL$11:$AL$98,)</f>
        <v>22</v>
      </c>
      <c r="B95" s="81" t="s">
        <v>80</v>
      </c>
      <c r="C95" s="174">
        <v>6</v>
      </c>
      <c r="D95" s="175"/>
      <c r="E95" s="176">
        <v>6</v>
      </c>
      <c r="F95" s="175"/>
      <c r="G95" s="177">
        <v>6</v>
      </c>
      <c r="H95" s="178"/>
      <c r="I95" s="176"/>
      <c r="J95" s="178">
        <v>7</v>
      </c>
      <c r="K95" s="179">
        <v>5</v>
      </c>
      <c r="L95" s="178"/>
      <c r="M95" s="176">
        <v>7</v>
      </c>
      <c r="N95" s="175"/>
      <c r="O95" s="176">
        <v>6</v>
      </c>
      <c r="P95" s="175"/>
      <c r="Q95" s="177"/>
      <c r="R95" s="180">
        <v>6</v>
      </c>
      <c r="S95" s="118">
        <f>SUM(C96:R96)</f>
        <v>20</v>
      </c>
      <c r="T95" s="46"/>
      <c r="U95" s="47">
        <v>6</v>
      </c>
      <c r="V95" s="44"/>
      <c r="W95" s="47">
        <v>6</v>
      </c>
      <c r="X95" s="49"/>
      <c r="Y95" s="45">
        <v>7</v>
      </c>
      <c r="Z95" s="48"/>
      <c r="AA95" s="47">
        <v>6</v>
      </c>
      <c r="AB95" s="166">
        <f>SUM(T96:AA96)</f>
        <v>22</v>
      </c>
      <c r="AC95" s="48">
        <v>6</v>
      </c>
      <c r="AD95" s="47"/>
      <c r="AE95" s="49">
        <v>6</v>
      </c>
      <c r="AF95" s="47"/>
      <c r="AG95" s="166">
        <f>SUM(AC96:AF96)</f>
        <v>21</v>
      </c>
      <c r="AH95" s="97">
        <v>7</v>
      </c>
      <c r="AI95" s="58"/>
      <c r="AJ95" s="118">
        <f>AH96</f>
        <v>3</v>
      </c>
      <c r="AK95" s="107">
        <f>MAX($AL$11:$AL$98) - AL95</f>
        <v>71</v>
      </c>
      <c r="AL95" s="166">
        <f>$S95+$AB95+$AG95+$AJ95</f>
        <v>66</v>
      </c>
    </row>
    <row r="96" spans="1:38" s="27" customFormat="1" hidden="1" x14ac:dyDescent="0.2">
      <c r="A96" s="113" t="e">
        <f>RANK(AL96,$AL$11:$AL$98,)</f>
        <v>#N/A</v>
      </c>
      <c r="B96" s="95"/>
      <c r="C96" s="122">
        <f>(IF($C95&lt;&gt;"",($C$7*$O$105)+IF($C$7=4,($O$103)+IF($C95=$C$7+$D$7,$O$104,0),0),0)+IF($D95&lt;&gt;"",($D$7*$O$105)+IF($D$7=4,($O$103)+IF($D95=$C$7+$D$7,$O$104,0),0),0))</f>
        <v>0</v>
      </c>
      <c r="D96" s="123"/>
      <c r="E96" s="121">
        <f>(IF($E95&lt;&gt;"",($E$7*$O$105)+IF($E$7=4,($O$103)+IF($E95=$E$7+$F$7,$O$104,0),0),0)+IF($F95&lt;&gt;"",($F$7*$O$105)+IF($F$7=4,($O$103)+IF($F95=$E$7+$F$7,$O$104,0),0),0))</f>
        <v>9</v>
      </c>
      <c r="F96" s="123"/>
      <c r="G96" s="121">
        <f>(IF($G95&lt;&gt;"",($G$7*$O$105)+IF($G$7=4,($O$103)+IF($G95=$G$7+$H$7,$O$104,0),0),0)+IF($H95&lt;&gt;"",($H$7*$O$105)+IF($H$7=4,($O$103)+IF($H95=$G$7+$H$7,$O$104,0),0),0))</f>
        <v>3</v>
      </c>
      <c r="H96" s="123"/>
      <c r="I96" s="124">
        <f>(IF($I95&lt;&gt;"",($I$7*$O$105)+IF($I$7=4,($O$103)+IF($I95=$I$7+$J$7,$O$104,0),0),0)+IF($J95&lt;&gt;"",($J$7*$O$105)+IF($J$7=4,($O$103)+IF($J95=$I$7+$J$7,$O$104,0),0),0))</f>
        <v>0</v>
      </c>
      <c r="J96" s="125"/>
      <c r="K96" s="126">
        <f>(IF($K95&lt;&gt;"",($K$7*$O$105)+IF($K$7=4,($O$103)+IF($K95=$K$7+$L$7,$O$104,0),0),0)+IF($L95&lt;&gt;"",($L$7*$O$105)+IF($L$7=4,($O$103)+IF($L95=$K$7+$L$7,$O$104,0),0),0))</f>
        <v>1</v>
      </c>
      <c r="L96" s="123"/>
      <c r="M96" s="121">
        <f>(IF($M95&lt;&gt;"",($M$7*$O$105)+IF($M$7=4,($O$103)+IF($M95=$M$7+$N$7,$O$104,0),0),0)+IF($N95&lt;&gt;"",($N$7*$O$105)+IF($N$7=4,($O$103)+IF($N95=$M$7+$N$7,$O$104,0),0),0))</f>
        <v>2</v>
      </c>
      <c r="N96" s="123"/>
      <c r="O96" s="124">
        <f>(IF($O95&lt;&gt;"",($O$7*$O$105)+IF($O$7=4,($O$103)+IF($O95=$O$7+$P$7,$O$104,0),0),0)+IF($P95&lt;&gt;"",($P$7*$O$105)+IF($P$7=4,($O$103)+IF($P95=$O$7+$P$7,$O$104,0),0),0))</f>
        <v>2</v>
      </c>
      <c r="P96" s="123"/>
      <c r="Q96" s="124">
        <f>(IF($Q95&lt;&gt;"",($Q$7*$O$105)+IF($Q$7=4,($O$103)+IF($Q95=$Q$7+$R$7,$O$104,0),0),0)+IF($R95&lt;&gt;"",($R$7*$O$105)+IF($R$7=4,($O$103)+IF($R95=$Q$7+$R$7,$O$104,0),0),0))</f>
        <v>3</v>
      </c>
      <c r="R96" s="127"/>
      <c r="S96" s="117"/>
      <c r="T96" s="122">
        <f>(IF($T95&lt;&gt;"",($T$7*$P$105)+IF($T$7=4,($P$103)+IF($T95=$T$7+$U$7,$P$104,0),0),0)+IF($U95&lt;&gt;"",($U$7*$P$105)+IF($U$7=4,($P$103)+IF($U95=$T$7+$U$7,$P$104,0),0),0))</f>
        <v>2</v>
      </c>
      <c r="U96" s="122"/>
      <c r="V96" s="122">
        <f>(IF($V95&lt;&gt;"",($V$7*$P$105)+IF($V$7=4,($P$103)+IF($V95=$V$7+$W$7,$P$104,0),0),0)+IF($W95&lt;&gt;"",($W$7*$P$105)+IF($W$7=4,($P$103)+IF($W95=$V$7+$W$7,$P$104,0),0),0))</f>
        <v>14</v>
      </c>
      <c r="W96" s="122"/>
      <c r="X96" s="122">
        <f>(IF($X95&lt;&gt;"",($X$7*$P$105)+IF($X$7=4,($P$103)+IF($X95=$X$7+$Y$7,$P$104,0),0),0)+IF($Y95&lt;&gt;"",($Y$7*$P$105)+IF($Y$7=4,($P$103)+IF($Y95=$X$7+$Y$7,$P$104,0),0),0))</f>
        <v>3</v>
      </c>
      <c r="Y96" s="59"/>
      <c r="Z96" s="122">
        <f>(IF($Z95&lt;&gt;"",($Z$7*$P$105)+IF($Z$7=4,($P$103)+IF($Z95=$Z$7+$AA$7,$P$104,0),0),0)+IF($AA95&lt;&gt;"",($AA$7*$P$105)+IF($AA$7=4,($P$103)+IF($AA95=$Z$7+$AA$7,$P$104,0),0),0))</f>
        <v>3</v>
      </c>
      <c r="AA96" s="60"/>
      <c r="AB96" s="117"/>
      <c r="AC96" s="122">
        <f>(IF($AC95&lt;&gt;"",($AC$7*$Q$105)+IF($AC$7=4,($Q$103)+IF($AC95=$AC$7+$AD$7,$Q$104,0),0),0)+IF($AD95&lt;&gt;"",($AD$7*$Q$105)+IF($AD$7=4,($Q$103)+IF($AD95=$AC$7+$AD$7,$Q$104,0),0),0))</f>
        <v>19</v>
      </c>
      <c r="AD96" s="122"/>
      <c r="AE96" s="122">
        <f>(IF($AE95&lt;&gt;"",($AE$7*$Q$105)+IF($AE$7=4,($Q$103)+IF($AE95=$AE$7+$AF$7,$Q$104,0),0),0)+IF($AF95&lt;&gt;"",($AF$7*$Q$105)+IF($AF$7=4,($Q$103)+IF($AF95=$AE$7+$AF$7,$Q$104,0),0),0))</f>
        <v>2</v>
      </c>
      <c r="AF96" s="82"/>
      <c r="AG96" s="117"/>
      <c r="AH96" s="122">
        <f>(IF($AH95&lt;&gt;"",($AH$7*$Q$105)+IF($AH$7=4,($R$103)+IF($AH95=$AH$7+$AI$7,$R$104,0),0),0)+IF($AI95&lt;&gt;"",($AI$7*$R$105)+IF($AI$7=4,($R$103)+IF($AI95=$AH$7+$AI$7,$R$104,0),0),0))</f>
        <v>3</v>
      </c>
      <c r="AI96" s="128"/>
      <c r="AJ96" s="117"/>
      <c r="AK96" s="106"/>
      <c r="AL96" s="117"/>
    </row>
    <row r="97" spans="1:38" s="27" customFormat="1" hidden="1" x14ac:dyDescent="0.2">
      <c r="A97" s="96"/>
      <c r="B97" s="120" t="s">
        <v>52</v>
      </c>
      <c r="C97" s="114">
        <f>IF(ISBLANK(C95),
0,
IF(C$7= 4, 1, 0))</f>
        <v>0</v>
      </c>
      <c r="D97" s="114">
        <f>IF(ISBLANK(D95),
0,
IF(D$7 = 4, 1, 0))</f>
        <v>0</v>
      </c>
      <c r="E97" s="114">
        <f>IF(ISBLANK(E95),
0,
IF(E$7= 4, 1, 0))</f>
        <v>1</v>
      </c>
      <c r="F97" s="114">
        <f>IF(ISBLANK(F95),
0,
IF(F$7 = 4, 1, 0))</f>
        <v>0</v>
      </c>
      <c r="G97" s="114">
        <f>IF(ISBLANK(G95),
0,
IF(G$7= 4, 1, 0))</f>
        <v>0</v>
      </c>
      <c r="H97" s="114">
        <f>IF(ISBLANK(H95),
0,
IF(H$7 = 4, 1, 0))</f>
        <v>0</v>
      </c>
      <c r="I97" s="114">
        <f>IF(ISBLANK(I95),
0,
IF(I$7= 4, 1, 0))</f>
        <v>0</v>
      </c>
      <c r="J97" s="114">
        <f>IF(ISBLANK(J95),
0,
IF(J$7 = 4, 1, 0))</f>
        <v>0</v>
      </c>
      <c r="K97" s="114">
        <f>IF(ISBLANK(K95),
0,
IF(K$7= 4, 1, 0))</f>
        <v>0</v>
      </c>
      <c r="L97" s="114">
        <f>IF(ISBLANK(L95),
0,
IF(L$7 = 4, 1, 0))</f>
        <v>0</v>
      </c>
      <c r="M97" s="114">
        <f>IF(ISBLANK(M95),
0,
IF(M$7= 4, 1, 0))</f>
        <v>0</v>
      </c>
      <c r="N97" s="114">
        <f>IF(ISBLANK(N95),
0,
IF(N$7 = 4, 1, 0))</f>
        <v>0</v>
      </c>
      <c r="O97" s="114">
        <f>IF(ISBLANK(O95),
0,
IF(O$7= 4, 1, 0))</f>
        <v>0</v>
      </c>
      <c r="P97" s="114">
        <f>IF(ISBLANK(P95),
0,
IF(P$7 = 4, 1, 0))</f>
        <v>0</v>
      </c>
      <c r="Q97" s="114">
        <f>IF(ISBLANK(Q95),
0,
IF(Q$7= 4, 1, 0))</f>
        <v>0</v>
      </c>
      <c r="R97" s="114">
        <f>IF(ISBLANK(R95),
0,
IF(R$7 = 4, 1, 0))</f>
        <v>0</v>
      </c>
      <c r="S97" s="130"/>
      <c r="T97" s="114">
        <f>IF(ISBLANK(T95),
0,
IF(T$7= 4, 1, 0))</f>
        <v>0</v>
      </c>
      <c r="U97" s="114">
        <f>IF(ISBLANK(U95),
0,
IF(U$7 = 4, 1, 0))</f>
        <v>0</v>
      </c>
      <c r="V97" s="114">
        <f>IF(ISBLANK(V95),
0,
IF(V$7= 4, 1, 0))</f>
        <v>0</v>
      </c>
      <c r="W97" s="114">
        <f>IF(ISBLANK(W95),
0,
IF(W$7 = 4, 1, 0))</f>
        <v>1</v>
      </c>
      <c r="X97" s="114">
        <f>IF(ISBLANK(X95),
0,
IF(X$7= 4, 1, 0))</f>
        <v>0</v>
      </c>
      <c r="Y97" s="114">
        <f>IF(ISBLANK(Y95),
0,
IF(Y$7 = 4, 1, 0))</f>
        <v>0</v>
      </c>
      <c r="Z97" s="114">
        <f>IF(ISBLANK(Z95),
0,
IF(Z$7= 4, 1, 0))</f>
        <v>0</v>
      </c>
      <c r="AA97" s="114">
        <f>IF(ISBLANK(AA95),
0,
IF(AA$7 = 4, 1, 0))</f>
        <v>0</v>
      </c>
      <c r="AB97" s="130"/>
      <c r="AC97" s="114">
        <f>IF(ISBLANK(AC95),
0,
IF(AC$7= 4, 1, 0))</f>
        <v>1</v>
      </c>
      <c r="AD97" s="114">
        <f>IF(ISBLANK(AD95),
0,
IF(AD$7 = 4, 1, 0))</f>
        <v>0</v>
      </c>
      <c r="AE97" s="114">
        <f>IF(ISBLANK(AE95),
0,
IF(AE$7= 4, 1, 0))</f>
        <v>0</v>
      </c>
      <c r="AF97" s="114">
        <f>IF(ISBLANK(AF95),
0,
IF(AF$7 = 4, 1, 0))</f>
        <v>0</v>
      </c>
      <c r="AG97" s="130"/>
      <c r="AH97" s="114">
        <f>IF(ISBLANK(AH95),
0,
IF(AH$7= 4, 1, 0))</f>
        <v>0</v>
      </c>
      <c r="AI97" s="114">
        <f>IF(ISBLANK(AI95),
0,
IF(AI$7 = 4, 1, 0))</f>
        <v>0</v>
      </c>
      <c r="AJ97" s="130"/>
      <c r="AK97" s="131">
        <f>SUM(C97:AI97)</f>
        <v>3</v>
      </c>
      <c r="AL97" s="119"/>
    </row>
    <row r="98" spans="1:38" s="27" customFormat="1" ht="13.5" hidden="1" thickBot="1" x14ac:dyDescent="0.25">
      <c r="A98" s="96"/>
      <c r="B98" s="120" t="s">
        <v>53</v>
      </c>
      <c r="C98" s="114">
        <f>IF(C97 = 0,
0,
IF(C95 = (C$7+D$7),1,0))</f>
        <v>0</v>
      </c>
      <c r="D98" s="114">
        <f>IF(D97 = 0,
0,
IF(D95 = (C$7+D$7),1,0))</f>
        <v>0</v>
      </c>
      <c r="E98" s="114">
        <f>IF(E97 = 0,
0,
IF(E95 = (E$7+F$7),1,0))</f>
        <v>0</v>
      </c>
      <c r="F98" s="114">
        <f>IF(F97 = 0,
0,
IF(F95 = (E$7+F$7),1,0))</f>
        <v>0</v>
      </c>
      <c r="G98" s="114">
        <f>IF(G97 = 0,
0,
IF(G95 = (G$7+H$7),1,0))</f>
        <v>0</v>
      </c>
      <c r="H98" s="114">
        <f>IF(H97 = 0,
0,
IF(H95 = (G$7+H$7),1,0))</f>
        <v>0</v>
      </c>
      <c r="I98" s="114">
        <f>IF(I97 = 0,
0,
IF(I95 = (I$7+J$7),1,0))</f>
        <v>0</v>
      </c>
      <c r="J98" s="114">
        <f>IF(J97 = 0,
0,
IF(J95 = (I$7+J$7),1,0))</f>
        <v>0</v>
      </c>
      <c r="K98" s="114">
        <f>IF(K97 = 0,
0,
IF(K95 = (K$7+L$7),1,0))</f>
        <v>0</v>
      </c>
      <c r="L98" s="114">
        <f>IF(L97 = 0,
0,
IF(L95 = (K$7+L$7),1,0))</f>
        <v>0</v>
      </c>
      <c r="M98" s="114">
        <f>IF(M97 = 0,
0,
IF(M95 = (M$7+N$7),1,0))</f>
        <v>0</v>
      </c>
      <c r="N98" s="114">
        <f>IF(N97 = 0,
0,
IF(N95 = (M$7+N$7),1,0))</f>
        <v>0</v>
      </c>
      <c r="O98" s="114">
        <f>IF(O97 = 0,
0,
IF(O95 = (O$7+P$7),1,0))</f>
        <v>0</v>
      </c>
      <c r="P98" s="114">
        <f>IF(P97 = 0,
0,
IF(P95 = (O$7+P$7),1,0))</f>
        <v>0</v>
      </c>
      <c r="Q98" s="114">
        <f>IF(Q97 = 0,
0,
IF(Q95 = (Q$7+R$7),1,0))</f>
        <v>0</v>
      </c>
      <c r="R98" s="114">
        <f>IF(R97 = 0,
0,
IF(R95 = (Q$7+R$7),1,0))</f>
        <v>0</v>
      </c>
      <c r="S98" s="130"/>
      <c r="T98" s="114">
        <f>IF(T97 = 0,
0,
IF(T95 = (T$7+U$7),1,0))</f>
        <v>0</v>
      </c>
      <c r="U98" s="114">
        <f>IF(U97 = 0,
0,
IF(U95 = (T$7+U$7),1,0))</f>
        <v>0</v>
      </c>
      <c r="V98" s="114">
        <f>IF(V97 = 0,
0,
IF(V95 = (V$7+W$7),1,0))</f>
        <v>0</v>
      </c>
      <c r="W98" s="114">
        <f>IF(W97 = 0,
0,
IF(W95 = (V$7+W$7),1,0))</f>
        <v>0</v>
      </c>
      <c r="X98" s="114">
        <f>IF(X97 = 0,
0,
IF(X95 = (X$7+Y$7),1,0))</f>
        <v>0</v>
      </c>
      <c r="Y98" s="114">
        <f>IF(Y97 = 0,
0,
IF(Y95 = (X$7+Y$7),1,0))</f>
        <v>0</v>
      </c>
      <c r="Z98" s="114">
        <f>IF(Z97 = 0,
0,
IF(Z95 = (Z$7+AA$7),1,0))</f>
        <v>0</v>
      </c>
      <c r="AA98" s="114">
        <f>IF(AA97 = 0,
0,
IF(AA95 = (Z$7+AA$7),1,0))</f>
        <v>0</v>
      </c>
      <c r="AB98" s="130"/>
      <c r="AC98" s="114">
        <f>IF(AC97 = 0,
0,
IF(AC95 = (AC$7+AD$7),1,0))</f>
        <v>0</v>
      </c>
      <c r="AD98" s="114">
        <f>IF(AD97 = 0,
0,
IF(AD95 = (AC$7+AD$7),1,0))</f>
        <v>0</v>
      </c>
      <c r="AE98" s="114">
        <f>IF(AE97 = 0,
0,
IF(AE95 = (AE$7+AF$7),1,0))</f>
        <v>0</v>
      </c>
      <c r="AF98" s="114">
        <f>IF(AF97 = 0,
0,
IF(AF95 = (AE$7+AF$7),1,0))</f>
        <v>0</v>
      </c>
      <c r="AG98" s="130"/>
      <c r="AH98" s="114">
        <f>IF(AH97 = 0,
0,
IF(AH95 = (AH$7+AI$7),1,0))</f>
        <v>0</v>
      </c>
      <c r="AI98" s="114">
        <f>IF(AI97 = 0,
0,
IF(AI95 = (AH$7+AI$7),1,0))</f>
        <v>0</v>
      </c>
      <c r="AJ98" s="130"/>
      <c r="AK98" s="131">
        <f>SUM(C98:AI98)</f>
        <v>0</v>
      </c>
      <c r="AL98" s="165"/>
    </row>
    <row r="99" spans="1:38" ht="12.75" customHeight="1" thickBot="1" x14ac:dyDescent="0.25">
      <c r="A99" s="61"/>
      <c r="B99" s="55"/>
      <c r="C99" s="169">
        <f t="shared" ref="C99:AA99" si="0">COUNT(C11,C15,C19,C23,C27,C31,C35, C39, C43,C47,C51,C55,C59,C63,C67,C71,C75,C79,C83,C91,C95,C87)</f>
        <v>22</v>
      </c>
      <c r="D99" s="167">
        <f t="shared" si="0"/>
        <v>0</v>
      </c>
      <c r="E99" s="169">
        <f t="shared" si="0"/>
        <v>18</v>
      </c>
      <c r="F99" s="167">
        <f t="shared" si="0"/>
        <v>4</v>
      </c>
      <c r="G99" s="169">
        <f t="shared" si="0"/>
        <v>19</v>
      </c>
      <c r="H99" s="167">
        <f t="shared" si="0"/>
        <v>3</v>
      </c>
      <c r="I99" s="169">
        <f t="shared" si="0"/>
        <v>4</v>
      </c>
      <c r="J99" s="199">
        <f t="shared" si="0"/>
        <v>18</v>
      </c>
      <c r="K99" s="168">
        <f t="shared" si="0"/>
        <v>21</v>
      </c>
      <c r="L99" s="167">
        <f t="shared" si="0"/>
        <v>1</v>
      </c>
      <c r="M99" s="169">
        <f t="shared" si="0"/>
        <v>14</v>
      </c>
      <c r="N99" s="167">
        <f t="shared" si="0"/>
        <v>8</v>
      </c>
      <c r="O99" s="169">
        <f t="shared" si="0"/>
        <v>21</v>
      </c>
      <c r="P99" s="167">
        <f t="shared" si="0"/>
        <v>1</v>
      </c>
      <c r="Q99" s="169">
        <f t="shared" si="0"/>
        <v>7</v>
      </c>
      <c r="R99" s="170">
        <f t="shared" si="0"/>
        <v>15</v>
      </c>
      <c r="S99" s="66"/>
      <c r="T99" s="169">
        <f t="shared" si="0"/>
        <v>3</v>
      </c>
      <c r="U99" s="167">
        <f t="shared" si="0"/>
        <v>19</v>
      </c>
      <c r="V99" s="169">
        <f t="shared" si="0"/>
        <v>16</v>
      </c>
      <c r="W99" s="199">
        <f t="shared" si="0"/>
        <v>6</v>
      </c>
      <c r="X99" s="168">
        <f t="shared" si="0"/>
        <v>12</v>
      </c>
      <c r="Y99" s="167">
        <f t="shared" si="0"/>
        <v>10</v>
      </c>
      <c r="Z99" s="169">
        <f t="shared" si="0"/>
        <v>17</v>
      </c>
      <c r="AA99" s="170">
        <f t="shared" si="0"/>
        <v>5</v>
      </c>
      <c r="AB99" s="98"/>
      <c r="AC99" s="62">
        <f>COUNT(AC11,AC15,AC19,AC23,AC27,AC31,AC35, AC39, AC43,AC47,AC51,AC55,AC59,AC63,AC67,AC71,AC75,AC79,AC83,AC87,AC91,AC95)</f>
        <v>14</v>
      </c>
      <c r="AD99" s="63">
        <f>COUNT(AD11,AD15,AD19,AD23,AD27,AD31,AD35, AD39, AD43,AD47,AD51,AD55,AD59,AD63,AD67,AD71,AD75,AD79,AD83,AD87,AD91,AD95)</f>
        <v>8</v>
      </c>
      <c r="AE99" s="64">
        <f>COUNT(AE11,AE15,AE19,AE23,AE27,AE31,AE35, AE39, AE43,AE47,AE51,AE55,AE59,AE63,AE67,AE71,AE75,AE79,AE83,AE87,AE91,AE95)</f>
        <v>11</v>
      </c>
      <c r="AF99" s="65">
        <f>COUNT(AF11,AF15,AF19,AF23,AF27,AF31,AF35, AF39, AF43,AF47,AF51,AF55,AF59,AF63,AF67,AF71,AF75,AF79,AF83,AF87,AF91,AF95)</f>
        <v>11</v>
      </c>
      <c r="AG99" s="98"/>
      <c r="AH99" s="67">
        <f>COUNT(AH11,AH15,AH19,AH23,AH27,AH31,AH35, AH39, AH43,AH47,AH51,AH55,AH59,AH63,AH67,AH71,AH75,AH79,AH83,AH87,AH91,AH95)</f>
        <v>9</v>
      </c>
      <c r="AI99" s="68">
        <f>COUNT(AI11,AI15,AI19,AI23,AI27,AI31,AI35, AI39, AI43,AI47,AI51,AI55,AI59,AI63,AI67,AI71,AI75,AI79,AI83,AI87,AI91,AI95)</f>
        <v>13</v>
      </c>
      <c r="AJ99" s="69"/>
      <c r="AK99" s="55"/>
    </row>
    <row r="100" spans="1:38" ht="6.95" customHeight="1" thickBot="1" x14ac:dyDescent="0.25"/>
    <row r="101" spans="1:38" ht="13.5" thickBot="1" x14ac:dyDescent="0.25">
      <c r="B101" s="43"/>
      <c r="N101" s="26"/>
      <c r="O101" s="289" t="s">
        <v>17</v>
      </c>
      <c r="P101" s="290"/>
      <c r="Q101" s="290"/>
      <c r="R101" s="291"/>
      <c r="AG101" s="30"/>
      <c r="AH101" s="30"/>
      <c r="AI101" s="30"/>
      <c r="AJ101" s="30"/>
      <c r="AK101" s="30"/>
    </row>
    <row r="102" spans="1:38" ht="13.5" thickBot="1" x14ac:dyDescent="0.25">
      <c r="A102" s="33"/>
      <c r="B102" s="279" t="s">
        <v>16</v>
      </c>
      <c r="C102" s="280"/>
      <c r="D102" s="280"/>
      <c r="E102" s="280"/>
      <c r="F102" s="280"/>
      <c r="G102" s="280"/>
      <c r="H102" s="280"/>
      <c r="I102" s="280"/>
      <c r="J102" s="280"/>
      <c r="K102" s="280"/>
      <c r="L102" s="280"/>
      <c r="M102" s="280"/>
      <c r="N102" s="281"/>
      <c r="O102" s="21">
        <v>1</v>
      </c>
      <c r="P102" s="21">
        <v>2</v>
      </c>
      <c r="Q102" s="21">
        <v>3</v>
      </c>
      <c r="R102" s="22">
        <v>4</v>
      </c>
      <c r="U102" s="292" t="s">
        <v>26</v>
      </c>
      <c r="V102" s="293"/>
      <c r="W102" s="293"/>
      <c r="X102" s="293"/>
      <c r="Y102" s="293"/>
      <c r="Z102" s="293"/>
      <c r="AA102" s="293"/>
      <c r="AB102" s="293"/>
      <c r="AC102" s="293"/>
      <c r="AD102" s="294"/>
      <c r="AE102" s="28"/>
      <c r="AF102" s="28"/>
      <c r="AG102" s="295" t="s">
        <v>24</v>
      </c>
      <c r="AH102" s="296"/>
      <c r="AI102" s="296"/>
      <c r="AJ102" s="296"/>
      <c r="AK102" s="297"/>
    </row>
    <row r="103" spans="1:38" x14ac:dyDescent="0.2">
      <c r="A103" s="34"/>
      <c r="B103" s="269" t="s">
        <v>6</v>
      </c>
      <c r="C103" s="270"/>
      <c r="D103" s="270"/>
      <c r="E103" s="270"/>
      <c r="F103" s="270"/>
      <c r="G103" s="270"/>
      <c r="H103" s="270"/>
      <c r="I103" s="270"/>
      <c r="J103" s="270"/>
      <c r="K103" s="270"/>
      <c r="L103" s="270"/>
      <c r="M103" s="270"/>
      <c r="N103" s="271"/>
      <c r="O103" s="20">
        <v>5</v>
      </c>
      <c r="P103" s="20">
        <v>10</v>
      </c>
      <c r="Q103" s="20">
        <v>15</v>
      </c>
      <c r="R103" s="23">
        <v>20</v>
      </c>
      <c r="U103" s="284" t="s">
        <v>20</v>
      </c>
      <c r="V103" s="285"/>
      <c r="W103" s="285"/>
      <c r="X103" s="285"/>
      <c r="Y103" s="285"/>
      <c r="Z103" s="285"/>
      <c r="AA103" s="285"/>
      <c r="AB103" s="282">
        <v>22</v>
      </c>
      <c r="AC103" s="282"/>
      <c r="AD103" s="283"/>
      <c r="AE103" s="29"/>
      <c r="AF103" s="29"/>
      <c r="AG103" s="298" t="s">
        <v>21</v>
      </c>
      <c r="AH103" s="299"/>
      <c r="AI103" s="299"/>
      <c r="AJ103" s="300"/>
      <c r="AK103" s="171">
        <v>230</v>
      </c>
    </row>
    <row r="104" spans="1:38" ht="13.5" thickBot="1" x14ac:dyDescent="0.25">
      <c r="A104" s="34"/>
      <c r="B104" s="269" t="s">
        <v>5</v>
      </c>
      <c r="C104" s="270"/>
      <c r="D104" s="270"/>
      <c r="E104" s="270"/>
      <c r="F104" s="270"/>
      <c r="G104" s="270"/>
      <c r="H104" s="270"/>
      <c r="I104" s="270"/>
      <c r="J104" s="270"/>
      <c r="K104" s="270"/>
      <c r="L104" s="270"/>
      <c r="M104" s="270"/>
      <c r="N104" s="271"/>
      <c r="O104" s="20">
        <v>2</v>
      </c>
      <c r="P104" s="20">
        <v>4</v>
      </c>
      <c r="Q104" s="20">
        <v>6</v>
      </c>
      <c r="R104" s="23">
        <v>8</v>
      </c>
      <c r="U104" s="274" t="s">
        <v>18</v>
      </c>
      <c r="V104" s="275"/>
      <c r="W104" s="275"/>
      <c r="X104" s="275"/>
      <c r="Y104" s="275"/>
      <c r="Z104" s="275"/>
      <c r="AA104" s="275"/>
      <c r="AB104" s="302">
        <v>20</v>
      </c>
      <c r="AC104" s="302"/>
      <c r="AD104" s="303"/>
      <c r="AE104" s="29"/>
      <c r="AF104" s="29"/>
      <c r="AG104" s="301" t="s">
        <v>22</v>
      </c>
      <c r="AH104" s="270"/>
      <c r="AI104" s="270"/>
      <c r="AJ104" s="271"/>
      <c r="AK104" s="36">
        <v>115</v>
      </c>
    </row>
    <row r="105" spans="1:38" ht="14.25" thickTop="1" thickBot="1" x14ac:dyDescent="0.25">
      <c r="A105" s="35"/>
      <c r="B105" s="276" t="s">
        <v>4</v>
      </c>
      <c r="C105" s="277"/>
      <c r="D105" s="277"/>
      <c r="E105" s="277"/>
      <c r="F105" s="277"/>
      <c r="G105" s="277"/>
      <c r="H105" s="277"/>
      <c r="I105" s="277"/>
      <c r="J105" s="277"/>
      <c r="K105" s="277"/>
      <c r="L105" s="277"/>
      <c r="M105" s="277"/>
      <c r="N105" s="278"/>
      <c r="O105" s="3">
        <v>1</v>
      </c>
      <c r="P105" s="3">
        <v>1</v>
      </c>
      <c r="Q105" s="3">
        <v>1</v>
      </c>
      <c r="R105" s="24">
        <v>1</v>
      </c>
      <c r="U105" s="286" t="s">
        <v>19</v>
      </c>
      <c r="V105" s="273"/>
      <c r="W105" s="273"/>
      <c r="X105" s="273"/>
      <c r="Y105" s="273"/>
      <c r="Z105" s="273"/>
      <c r="AA105" s="273"/>
      <c r="AB105" s="287">
        <f>AB103*AB104</f>
        <v>440</v>
      </c>
      <c r="AC105" s="287"/>
      <c r="AD105" s="288"/>
      <c r="AE105" s="29"/>
      <c r="AF105" s="29"/>
      <c r="AG105" s="301" t="s">
        <v>25</v>
      </c>
      <c r="AH105" s="270"/>
      <c r="AI105" s="270"/>
      <c r="AJ105" s="271"/>
      <c r="AK105" s="36">
        <v>65</v>
      </c>
    </row>
    <row r="106" spans="1:38" ht="13.5" thickBot="1" x14ac:dyDescent="0.25">
      <c r="AG106" s="274" t="s">
        <v>23</v>
      </c>
      <c r="AH106" s="275"/>
      <c r="AI106" s="275"/>
      <c r="AJ106" s="275"/>
      <c r="AK106" s="173">
        <v>30</v>
      </c>
    </row>
    <row r="107" spans="1:38" ht="14.25" thickTop="1" thickBot="1" x14ac:dyDescent="0.25">
      <c r="AG107" s="272" t="s">
        <v>19</v>
      </c>
      <c r="AH107" s="273"/>
      <c r="AI107" s="273"/>
      <c r="AJ107" s="273"/>
      <c r="AK107" s="172">
        <f>SUM(AK103:AK106)</f>
        <v>440</v>
      </c>
    </row>
  </sheetData>
  <sortState ref="A11:AL95">
    <sortCondition descending="1" ref="AL11:AL95"/>
    <sortCondition ref="B11:B95"/>
  </sortState>
  <mergeCells count="40">
    <mergeCell ref="AG103:AJ103"/>
    <mergeCell ref="AG105:AJ105"/>
    <mergeCell ref="AG104:AJ104"/>
    <mergeCell ref="U104:AA104"/>
    <mergeCell ref="AB104:AD104"/>
    <mergeCell ref="B104:N104"/>
    <mergeCell ref="AG107:AJ107"/>
    <mergeCell ref="AG106:AJ106"/>
    <mergeCell ref="K6:R6"/>
    <mergeCell ref="S6:S10"/>
    <mergeCell ref="T6:W6"/>
    <mergeCell ref="B105:N105"/>
    <mergeCell ref="B102:N102"/>
    <mergeCell ref="AB103:AD103"/>
    <mergeCell ref="U103:AA103"/>
    <mergeCell ref="B103:N103"/>
    <mergeCell ref="U105:AA105"/>
    <mergeCell ref="AB105:AD105"/>
    <mergeCell ref="O101:R101"/>
    <mergeCell ref="U102:AD102"/>
    <mergeCell ref="AG102:AK102"/>
    <mergeCell ref="C1:O1"/>
    <mergeCell ref="P1:AJ1"/>
    <mergeCell ref="C4:O4"/>
    <mergeCell ref="P4:AJ4"/>
    <mergeCell ref="C3:P3"/>
    <mergeCell ref="Q3:AJ3"/>
    <mergeCell ref="C2:P2"/>
    <mergeCell ref="Q2:AJ2"/>
    <mergeCell ref="C5:S5"/>
    <mergeCell ref="T5:AB5"/>
    <mergeCell ref="AC5:AG5"/>
    <mergeCell ref="C6:J6"/>
    <mergeCell ref="AH5:AJ5"/>
    <mergeCell ref="AG6:AG10"/>
    <mergeCell ref="AJ6:AJ10"/>
    <mergeCell ref="X6:AA6"/>
    <mergeCell ref="AB6:AB10"/>
    <mergeCell ref="AC6:AD6"/>
    <mergeCell ref="AE6:AF6"/>
  </mergeCells>
  <phoneticPr fontId="16" type="noConversion"/>
  <conditionalFormatting sqref="S11:S16 AB11:AB16 AG11:AG16 AJ11:AJ16 AJ27:AJ28 AG27:AG28 AB27:AB28 S27:S28 AJ23:AJ24 AG23:AG24 AB23:AB24 S23:S24 AJ19:AJ20 AG19:AG20 AB19:AB20 S19:S20 S39:S40 AB39:AB40 AG39:AG40 AJ39:AJ40 S31:S32 AB31:AB32 AG31:AG32 AJ31:AJ32 AJ43:AJ44 AG43:AG44 AB43:AB44 S43:S44 S47:S48 AB47:AB48 AG47:AG48 AJ47:AJ48 AJ51 AG51 AB51 S51 S59 AB59 AG59 AJ59 S55 AB55 AG55 AJ55 AJ63 AG63 AB63 S63 S67 AB67 AG67 AJ67 AJ71 AG71 AB71 S71 S75 AB75 AG75 AJ75 AJ79 AG79 AB79 S79 AJ35:AJ36 AG35:AG36 AB35:AB36 S35:S36">
    <cfRule type="cellIs" dxfId="79" priority="178" operator="notEqual">
      <formula>""""""</formula>
    </cfRule>
  </conditionalFormatting>
  <conditionalFormatting sqref="AL11:AL24 AL27:AL28 AL39:AL40 AL31:AL32 AL43:AL44 AL47:AL48 AL51 AL59 AL55 AL63 AL67 AL71 AL75 AL79 AL35:AL36">
    <cfRule type="cellIs" dxfId="78" priority="177" operator="notEqual">
      <formula>""""""</formula>
    </cfRule>
  </conditionalFormatting>
  <conditionalFormatting sqref="AJ25:AJ26">
    <cfRule type="cellIs" dxfId="77" priority="174" operator="notEqual">
      <formula>""""""</formula>
    </cfRule>
  </conditionalFormatting>
  <conditionalFormatting sqref="AL25:AL26">
    <cfRule type="cellIs" dxfId="76" priority="175" operator="notEqual">
      <formula>""""""</formula>
    </cfRule>
  </conditionalFormatting>
  <conditionalFormatting sqref="AJ21:AJ22">
    <cfRule type="cellIs" dxfId="75" priority="173" operator="notEqual">
      <formula>""""""</formula>
    </cfRule>
  </conditionalFormatting>
  <conditionalFormatting sqref="AJ17:AJ18">
    <cfRule type="cellIs" dxfId="74" priority="172" operator="notEqual">
      <formula>""""""</formula>
    </cfRule>
  </conditionalFormatting>
  <conditionalFormatting sqref="AJ29:AJ30">
    <cfRule type="cellIs" dxfId="73" priority="168" operator="notEqual">
      <formula>""""""</formula>
    </cfRule>
  </conditionalFormatting>
  <conditionalFormatting sqref="AL29:AL30">
    <cfRule type="cellIs" dxfId="72" priority="169" operator="notEqual">
      <formula>""""""</formula>
    </cfRule>
  </conditionalFormatting>
  <conditionalFormatting sqref="AL37:AL38">
    <cfRule type="cellIs" dxfId="71" priority="167" operator="notEqual">
      <formula>""""""</formula>
    </cfRule>
  </conditionalFormatting>
  <conditionalFormatting sqref="AL41:AL42">
    <cfRule type="cellIs" dxfId="70" priority="165" operator="notEqual">
      <formula>""""""</formula>
    </cfRule>
  </conditionalFormatting>
  <conditionalFormatting sqref="AL45:AL46">
    <cfRule type="cellIs" dxfId="69" priority="163" operator="notEqual">
      <formula>""""""</formula>
    </cfRule>
  </conditionalFormatting>
  <conditionalFormatting sqref="AL49:AL50">
    <cfRule type="cellIs" dxfId="68" priority="161" operator="notEqual">
      <formula>""""""</formula>
    </cfRule>
  </conditionalFormatting>
  <conditionalFormatting sqref="S21:S22 AB21:AB22 AG21:AG22">
    <cfRule type="cellIs" dxfId="67" priority="138" operator="notEqual">
      <formula>""""""</formula>
    </cfRule>
  </conditionalFormatting>
  <conditionalFormatting sqref="S25:S26 AB25:AB26 AG25:AG26">
    <cfRule type="cellIs" dxfId="66" priority="137" operator="notEqual">
      <formula>""""""</formula>
    </cfRule>
  </conditionalFormatting>
  <conditionalFormatting sqref="S17:S18 AB17:AB18 AG17:AG18">
    <cfRule type="cellIs" dxfId="65" priority="139" operator="notEqual">
      <formula>""""""</formula>
    </cfRule>
  </conditionalFormatting>
  <conditionalFormatting sqref="S29:S30 AB29:AB30 AG29:AG30">
    <cfRule type="cellIs" dxfId="64" priority="136" operator="notEqual">
      <formula>""""""</formula>
    </cfRule>
  </conditionalFormatting>
  <conditionalFormatting sqref="AJ33:AJ34">
    <cfRule type="cellIs" dxfId="63" priority="134" operator="notEqual">
      <formula>""""""</formula>
    </cfRule>
  </conditionalFormatting>
  <conditionalFormatting sqref="AL33:AL34">
    <cfRule type="cellIs" dxfId="62" priority="135" operator="notEqual">
      <formula>""""""</formula>
    </cfRule>
  </conditionalFormatting>
  <conditionalFormatting sqref="S33:S34 AB33:AB34 AG33:AG34">
    <cfRule type="cellIs" dxfId="61" priority="133" operator="notEqual">
      <formula>""""""</formula>
    </cfRule>
  </conditionalFormatting>
  <conditionalFormatting sqref="AJ37:AJ38">
    <cfRule type="cellIs" dxfId="60" priority="132" operator="notEqual">
      <formula>""""""</formula>
    </cfRule>
  </conditionalFormatting>
  <conditionalFormatting sqref="S37:S38 AB37:AB38 AG37:AG38">
    <cfRule type="cellIs" dxfId="59" priority="131" operator="notEqual">
      <formula>""""""</formula>
    </cfRule>
  </conditionalFormatting>
  <conditionalFormatting sqref="AJ41:AJ42">
    <cfRule type="cellIs" dxfId="58" priority="130" operator="notEqual">
      <formula>""""""</formula>
    </cfRule>
  </conditionalFormatting>
  <conditionalFormatting sqref="S41:S42 AB41:AB42 AG41:AG42">
    <cfRule type="cellIs" dxfId="57" priority="129" operator="notEqual">
      <formula>""""""</formula>
    </cfRule>
  </conditionalFormatting>
  <conditionalFormatting sqref="AJ45:AJ46">
    <cfRule type="cellIs" dxfId="56" priority="128" operator="notEqual">
      <formula>""""""</formula>
    </cfRule>
  </conditionalFormatting>
  <conditionalFormatting sqref="S45:S46 AB45:AB46 AG45:AG46">
    <cfRule type="cellIs" dxfId="55" priority="127" operator="notEqual">
      <formula>""""""</formula>
    </cfRule>
  </conditionalFormatting>
  <conditionalFormatting sqref="AJ49:AJ50">
    <cfRule type="cellIs" dxfId="54" priority="126" operator="notEqual">
      <formula>""""""</formula>
    </cfRule>
  </conditionalFormatting>
  <conditionalFormatting sqref="S49:S50 AB49:AB50 AG49:AG50">
    <cfRule type="cellIs" dxfId="53" priority="125" operator="notEqual">
      <formula>""""""</formula>
    </cfRule>
  </conditionalFormatting>
  <conditionalFormatting sqref="S52:S54 AB52:AB54 AG52:AG54 AJ52:AJ54">
    <cfRule type="cellIs" dxfId="52" priority="106" operator="notEqual">
      <formula>""""""</formula>
    </cfRule>
  </conditionalFormatting>
  <conditionalFormatting sqref="AL52:AL54">
    <cfRule type="cellIs" dxfId="51" priority="105" operator="notEqual">
      <formula>""""""</formula>
    </cfRule>
  </conditionalFormatting>
  <conditionalFormatting sqref="S56:S58 AB56:AB58 AG56:AG58 AJ56:AJ58">
    <cfRule type="cellIs" dxfId="50" priority="104" operator="notEqual">
      <formula>""""""</formula>
    </cfRule>
  </conditionalFormatting>
  <conditionalFormatting sqref="AL56:AL58">
    <cfRule type="cellIs" dxfId="49" priority="103" operator="notEqual">
      <formula>""""""</formula>
    </cfRule>
  </conditionalFormatting>
  <conditionalFormatting sqref="S60:S62 AB60:AB62 AG60:AG62 AJ60:AJ62">
    <cfRule type="cellIs" dxfId="48" priority="102" operator="notEqual">
      <formula>""""""</formula>
    </cfRule>
  </conditionalFormatting>
  <conditionalFormatting sqref="AL60:AL62">
    <cfRule type="cellIs" dxfId="47" priority="101" operator="notEqual">
      <formula>""""""</formula>
    </cfRule>
  </conditionalFormatting>
  <conditionalFormatting sqref="S64:S66 AB64:AB66 AG64:AG66 AJ64:AJ66">
    <cfRule type="cellIs" dxfId="46" priority="100" operator="notEqual">
      <formula>""""""</formula>
    </cfRule>
  </conditionalFormatting>
  <conditionalFormatting sqref="AL64:AL66">
    <cfRule type="cellIs" dxfId="45" priority="99" operator="notEqual">
      <formula>""""""</formula>
    </cfRule>
  </conditionalFormatting>
  <conditionalFormatting sqref="S68:S70 AB68:AB70 AG68:AG70 AJ68:AJ70">
    <cfRule type="cellIs" dxfId="44" priority="98" operator="notEqual">
      <formula>""""""</formula>
    </cfRule>
  </conditionalFormatting>
  <conditionalFormatting sqref="AL68:AL70">
    <cfRule type="cellIs" dxfId="43" priority="97" operator="notEqual">
      <formula>""""""</formula>
    </cfRule>
  </conditionalFormatting>
  <conditionalFormatting sqref="S72:S74 AB72:AB74 AG72:AG74 AJ72:AJ74">
    <cfRule type="cellIs" dxfId="42" priority="96" operator="notEqual">
      <formula>""""""</formula>
    </cfRule>
  </conditionalFormatting>
  <conditionalFormatting sqref="AL72:AL74">
    <cfRule type="cellIs" dxfId="41" priority="95" operator="notEqual">
      <formula>""""""</formula>
    </cfRule>
  </conditionalFormatting>
  <conditionalFormatting sqref="S76:S78 AB76:AB78 AG76:AG78 AJ76:AJ78">
    <cfRule type="cellIs" dxfId="40" priority="94" operator="notEqual">
      <formula>""""""</formula>
    </cfRule>
  </conditionalFormatting>
  <conditionalFormatting sqref="AL76:AL78">
    <cfRule type="cellIs" dxfId="39" priority="93" operator="notEqual">
      <formula>""""""</formula>
    </cfRule>
  </conditionalFormatting>
  <conditionalFormatting sqref="S80:S82 AB80:AB82 AG80:AG82 AJ80:AJ82">
    <cfRule type="cellIs" dxfId="38" priority="92" operator="notEqual">
      <formula>""""""</formula>
    </cfRule>
  </conditionalFormatting>
  <conditionalFormatting sqref="AL80:AL82">
    <cfRule type="cellIs" dxfId="37" priority="91" operator="notEqual">
      <formula>""""""</formula>
    </cfRule>
  </conditionalFormatting>
  <conditionalFormatting sqref="C99:D99">
    <cfRule type="dataBar" priority="31">
      <dataBar>
        <cfvo type="min"/>
        <cfvo type="max"/>
        <color theme="0" tint="-0.249977111117893"/>
      </dataBar>
      <extLst>
        <ext xmlns:x14="http://schemas.microsoft.com/office/spreadsheetml/2009/9/main" uri="{B025F937-C7B1-47D3-B67F-A62EFF666E3E}">
          <x14:id>{052BB305-572E-47A8-BEF7-1F39E55FD2AF}</x14:id>
        </ext>
      </extLst>
    </cfRule>
  </conditionalFormatting>
  <conditionalFormatting sqref="S83 AB83 AG83 AJ83 AJ91 AG91 AB91 S91">
    <cfRule type="cellIs" dxfId="36" priority="78" operator="notEqual">
      <formula>""""""</formula>
    </cfRule>
  </conditionalFormatting>
  <conditionalFormatting sqref="AL83 AL91">
    <cfRule type="cellIs" dxfId="35" priority="77" operator="notEqual">
      <formula>""""""</formula>
    </cfRule>
  </conditionalFormatting>
  <conditionalFormatting sqref="S84:S86 AB84:AB86 AG84:AG86 AJ84:AJ86">
    <cfRule type="cellIs" dxfId="34" priority="76" operator="notEqual">
      <formula>""""""</formula>
    </cfRule>
  </conditionalFormatting>
  <conditionalFormatting sqref="AL84:AL86">
    <cfRule type="cellIs" dxfId="33" priority="75" operator="notEqual">
      <formula>""""""</formula>
    </cfRule>
  </conditionalFormatting>
  <conditionalFormatting sqref="S92:S94 AB92:AB94 AG92:AG94 AJ92:AJ94">
    <cfRule type="cellIs" dxfId="32" priority="74" operator="notEqual">
      <formula>""""""</formula>
    </cfRule>
  </conditionalFormatting>
  <conditionalFormatting sqref="AL92:AL94">
    <cfRule type="cellIs" dxfId="31" priority="73" operator="notEqual">
      <formula>""""""</formula>
    </cfRule>
  </conditionalFormatting>
  <conditionalFormatting sqref="S95 AB95 AG95 AJ95">
    <cfRule type="cellIs" dxfId="30" priority="70" operator="notEqual">
      <formula>""""""</formula>
    </cfRule>
  </conditionalFormatting>
  <conditionalFormatting sqref="AL95">
    <cfRule type="cellIs" dxfId="29" priority="69" operator="notEqual">
      <formula>""""""</formula>
    </cfRule>
  </conditionalFormatting>
  <conditionalFormatting sqref="S96:S98 AB96:AB98 AG96:AG98 AJ96:AJ98">
    <cfRule type="cellIs" dxfId="28" priority="68" operator="notEqual">
      <formula>""""""</formula>
    </cfRule>
  </conditionalFormatting>
  <conditionalFormatting sqref="AL96:AL98">
    <cfRule type="cellIs" dxfId="27" priority="67" operator="notEqual">
      <formula>""""""</formula>
    </cfRule>
  </conditionalFormatting>
  <conditionalFormatting sqref="S87 AB87 AG87 AJ87">
    <cfRule type="cellIs" dxfId="26" priority="35" operator="notEqual">
      <formula>""""""</formula>
    </cfRule>
  </conditionalFormatting>
  <conditionalFormatting sqref="AL87">
    <cfRule type="cellIs" dxfId="25" priority="34" operator="notEqual">
      <formula>""""""</formula>
    </cfRule>
  </conditionalFormatting>
  <conditionalFormatting sqref="S88:S90 AB88:AB90 AG88:AG90 AJ88:AJ90">
    <cfRule type="cellIs" dxfId="24" priority="33" operator="notEqual">
      <formula>""""""</formula>
    </cfRule>
  </conditionalFormatting>
  <conditionalFormatting sqref="AL88:AL90">
    <cfRule type="cellIs" dxfId="23" priority="32" operator="notEqual">
      <formula>""""""</formula>
    </cfRule>
  </conditionalFormatting>
  <conditionalFormatting sqref="AK11:AK95">
    <cfRule type="dataBar" priority="23">
      <dataBar>
        <cfvo type="min"/>
        <cfvo type="max"/>
        <color theme="0" tint="-0.34998626667073579"/>
      </dataBar>
      <extLst>
        <ext xmlns:x14="http://schemas.microsoft.com/office/spreadsheetml/2009/9/main" uri="{B025F937-C7B1-47D3-B67F-A62EFF666E3E}">
          <x14:id>{C7C89828-A80F-4CFB-A8E3-6391A56E8618}</x14:id>
        </ext>
      </extLst>
    </cfRule>
  </conditionalFormatting>
  <conditionalFormatting sqref="E99:F99">
    <cfRule type="dataBar" priority="21">
      <dataBar>
        <cfvo type="min"/>
        <cfvo type="max"/>
        <color theme="0" tint="-0.249977111117893"/>
      </dataBar>
      <extLst>
        <ext xmlns:x14="http://schemas.microsoft.com/office/spreadsheetml/2009/9/main" uri="{B025F937-C7B1-47D3-B67F-A62EFF666E3E}">
          <x14:id>{A3B8AA61-0619-4C88-8FBE-484275C01667}</x14:id>
        </ext>
      </extLst>
    </cfRule>
  </conditionalFormatting>
  <conditionalFormatting sqref="G99:H99">
    <cfRule type="dataBar" priority="20">
      <dataBar>
        <cfvo type="min"/>
        <cfvo type="max"/>
        <color theme="0" tint="-0.249977111117893"/>
      </dataBar>
      <extLst>
        <ext xmlns:x14="http://schemas.microsoft.com/office/spreadsheetml/2009/9/main" uri="{B025F937-C7B1-47D3-B67F-A62EFF666E3E}">
          <x14:id>{AD9918FD-7420-47E4-8841-2E1C8407F1B5}</x14:id>
        </ext>
      </extLst>
    </cfRule>
  </conditionalFormatting>
  <conditionalFormatting sqref="I99:J99">
    <cfRule type="dataBar" priority="19">
      <dataBar>
        <cfvo type="min"/>
        <cfvo type="max"/>
        <color theme="0" tint="-0.249977111117893"/>
      </dataBar>
      <extLst>
        <ext xmlns:x14="http://schemas.microsoft.com/office/spreadsheetml/2009/9/main" uri="{B025F937-C7B1-47D3-B67F-A62EFF666E3E}">
          <x14:id>{ECD03FC5-D291-43FD-BB09-4A567BF4CC1F}</x14:id>
        </ext>
      </extLst>
    </cfRule>
  </conditionalFormatting>
  <conditionalFormatting sqref="K99:L99">
    <cfRule type="dataBar" priority="18">
      <dataBar>
        <cfvo type="min"/>
        <cfvo type="max"/>
        <color theme="0" tint="-0.249977111117893"/>
      </dataBar>
      <extLst>
        <ext xmlns:x14="http://schemas.microsoft.com/office/spreadsheetml/2009/9/main" uri="{B025F937-C7B1-47D3-B67F-A62EFF666E3E}">
          <x14:id>{D17DC600-7DEF-4595-BAA6-F4B58C0164B5}</x14:id>
        </ext>
      </extLst>
    </cfRule>
  </conditionalFormatting>
  <conditionalFormatting sqref="M99:N99">
    <cfRule type="dataBar" priority="17">
      <dataBar>
        <cfvo type="min"/>
        <cfvo type="max"/>
        <color theme="0" tint="-0.249977111117893"/>
      </dataBar>
      <extLst>
        <ext xmlns:x14="http://schemas.microsoft.com/office/spreadsheetml/2009/9/main" uri="{B025F937-C7B1-47D3-B67F-A62EFF666E3E}">
          <x14:id>{C29C7B73-1B90-4EF1-A02A-4FF9829171E9}</x14:id>
        </ext>
      </extLst>
    </cfRule>
  </conditionalFormatting>
  <conditionalFormatting sqref="O99:P99">
    <cfRule type="dataBar" priority="16">
      <dataBar>
        <cfvo type="min"/>
        <cfvo type="max"/>
        <color theme="0" tint="-0.249977111117893"/>
      </dataBar>
      <extLst>
        <ext xmlns:x14="http://schemas.microsoft.com/office/spreadsheetml/2009/9/main" uri="{B025F937-C7B1-47D3-B67F-A62EFF666E3E}">
          <x14:id>{7B483902-7B74-43C0-B826-108B0D20AC66}</x14:id>
        </ext>
      </extLst>
    </cfRule>
  </conditionalFormatting>
  <conditionalFormatting sqref="Q99:R99">
    <cfRule type="dataBar" priority="15">
      <dataBar>
        <cfvo type="min"/>
        <cfvo type="max"/>
        <color theme="0" tint="-0.249977111117893"/>
      </dataBar>
      <extLst>
        <ext xmlns:x14="http://schemas.microsoft.com/office/spreadsheetml/2009/9/main" uri="{B025F937-C7B1-47D3-B67F-A62EFF666E3E}">
          <x14:id>{405228E6-E6BB-419A-B345-86E2B36DB949}</x14:id>
        </ext>
      </extLst>
    </cfRule>
  </conditionalFormatting>
  <conditionalFormatting sqref="T99:U99">
    <cfRule type="dataBar" priority="10">
      <dataBar>
        <cfvo type="min"/>
        <cfvo type="max"/>
        <color theme="0" tint="-0.249977111117893"/>
      </dataBar>
      <extLst>
        <ext xmlns:x14="http://schemas.microsoft.com/office/spreadsheetml/2009/9/main" uri="{B025F937-C7B1-47D3-B67F-A62EFF666E3E}">
          <x14:id>{9CB4E557-97CA-4AEB-8FB8-328F401D7837}</x14:id>
        </ext>
      </extLst>
    </cfRule>
  </conditionalFormatting>
  <conditionalFormatting sqref="V99:W99">
    <cfRule type="dataBar" priority="9">
      <dataBar>
        <cfvo type="min"/>
        <cfvo type="max"/>
        <color theme="0" tint="-0.249977111117893"/>
      </dataBar>
      <extLst>
        <ext xmlns:x14="http://schemas.microsoft.com/office/spreadsheetml/2009/9/main" uri="{B025F937-C7B1-47D3-B67F-A62EFF666E3E}">
          <x14:id>{DD3597B6-1879-4A1B-B549-2B594B19C856}</x14:id>
        </ext>
      </extLst>
    </cfRule>
  </conditionalFormatting>
  <conditionalFormatting sqref="X99:Y99">
    <cfRule type="dataBar" priority="8">
      <dataBar>
        <cfvo type="min"/>
        <cfvo type="max"/>
        <color theme="0" tint="-0.249977111117893"/>
      </dataBar>
      <extLst>
        <ext xmlns:x14="http://schemas.microsoft.com/office/spreadsheetml/2009/9/main" uri="{B025F937-C7B1-47D3-B67F-A62EFF666E3E}">
          <x14:id>{A7663C52-1A7C-48EF-9EFB-96CBA1152C52}</x14:id>
        </ext>
      </extLst>
    </cfRule>
  </conditionalFormatting>
  <conditionalFormatting sqref="Z99:AA99">
    <cfRule type="dataBar" priority="7">
      <dataBar>
        <cfvo type="min"/>
        <cfvo type="max"/>
        <color theme="0" tint="-0.249977111117893"/>
      </dataBar>
      <extLst>
        <ext xmlns:x14="http://schemas.microsoft.com/office/spreadsheetml/2009/9/main" uri="{B025F937-C7B1-47D3-B67F-A62EFF666E3E}">
          <x14:id>{B0535630-473C-4E46-A99F-93A267D87F22}</x14:id>
        </ext>
      </extLst>
    </cfRule>
  </conditionalFormatting>
  <conditionalFormatting sqref="C11:R95 T11:AA95 AC11:AF95 AH11:AI95">
    <cfRule type="cellIs" dxfId="22" priority="5" operator="notEqual">
      <formula>0</formula>
    </cfRule>
  </conditionalFormatting>
  <conditionalFormatting sqref="AC96:AF98">
    <cfRule type="cellIs" dxfId="21" priority="4" operator="notEqual">
      <formula>0</formula>
    </cfRule>
  </conditionalFormatting>
  <conditionalFormatting sqref="AH96:AI98">
    <cfRule type="cellIs" dxfId="20" priority="3" operator="notEqual">
      <formula>0</formula>
    </cfRule>
  </conditionalFormatting>
  <conditionalFormatting sqref="AC99:AD99">
    <cfRule type="dataBar" priority="2">
      <dataBar>
        <cfvo type="min"/>
        <cfvo type="max"/>
        <color theme="0" tint="-0.249977111117893"/>
      </dataBar>
      <extLst>
        <ext xmlns:x14="http://schemas.microsoft.com/office/spreadsheetml/2009/9/main" uri="{B025F937-C7B1-47D3-B67F-A62EFF666E3E}">
          <x14:id>{E0A89910-5996-474F-825F-92BEA5EF50DB}</x14:id>
        </ext>
      </extLst>
    </cfRule>
  </conditionalFormatting>
  <conditionalFormatting sqref="AE99:AF99">
    <cfRule type="dataBar" priority="1">
      <dataBar>
        <cfvo type="min"/>
        <cfvo type="max"/>
        <color theme="0" tint="-0.249977111117893"/>
      </dataBar>
      <extLst>
        <ext xmlns:x14="http://schemas.microsoft.com/office/spreadsheetml/2009/9/main" uri="{B025F937-C7B1-47D3-B67F-A62EFF666E3E}">
          <x14:id>{881406D2-C75E-4E13-A18F-12729C68F336}</x14:id>
        </ext>
      </extLst>
    </cfRule>
  </conditionalFormatting>
  <hyperlinks>
    <hyperlink ref="Q3" r:id="rId1"/>
    <hyperlink ref="Q2" r:id="rId2"/>
  </hyperlinks>
  <pageMargins left="0.78740157480314965" right="0.78740157480314965" top="0.78740157480314965" bottom="0.78740157480314965" header="0.39370078740157483" footer="0.39370078740157483"/>
  <pageSetup paperSize="5" scale="89" orientation="landscape" r:id="rId3"/>
  <headerFooter alignWithMargins="0">
    <oddHeader>&amp;L&amp;"Arial,Gras"&amp;20Pool des séries - Ville de Laval&amp;R
&amp;"Arial,Italique"Dernière mise à jour: &amp;"Arial,Gras italique"&amp;D - &amp;T</oddHeader>
  </headerFooter>
  <extLst>
    <ext xmlns:x14="http://schemas.microsoft.com/office/spreadsheetml/2009/9/main" uri="{78C0D931-6437-407d-A8EE-F0AAD7539E65}">
      <x14:conditionalFormattings>
        <x14:conditionalFormatting xmlns:xm="http://schemas.microsoft.com/office/excel/2006/main">
          <x14:cfRule type="dataBar" id="{052BB305-572E-47A8-BEF7-1F39E55FD2AF}">
            <x14:dataBar minLength="0" maxLength="100" gradient="0">
              <x14:cfvo type="autoMin"/>
              <x14:cfvo type="autoMax"/>
              <x14:negativeFillColor rgb="FFFF0000"/>
              <x14:axisColor rgb="FF000000"/>
            </x14:dataBar>
          </x14:cfRule>
          <xm:sqref>C99:D99</xm:sqref>
        </x14:conditionalFormatting>
        <x14:conditionalFormatting xmlns:xm="http://schemas.microsoft.com/office/excel/2006/main">
          <x14:cfRule type="dataBar" id="{C7C89828-A80F-4CFB-A8E3-6391A56E8618}">
            <x14:dataBar minLength="0" maxLength="100" gradient="0">
              <x14:cfvo type="autoMin"/>
              <x14:cfvo type="autoMax"/>
              <x14:negativeFillColor rgb="FFFF0000"/>
              <x14:axisColor rgb="FF000000"/>
            </x14:dataBar>
          </x14:cfRule>
          <xm:sqref>AK11:AK95</xm:sqref>
        </x14:conditionalFormatting>
        <x14:conditionalFormatting xmlns:xm="http://schemas.microsoft.com/office/excel/2006/main">
          <x14:cfRule type="dataBar" id="{A3B8AA61-0619-4C88-8FBE-484275C01667}">
            <x14:dataBar minLength="0" maxLength="100" gradient="0">
              <x14:cfvo type="autoMin"/>
              <x14:cfvo type="autoMax"/>
              <x14:negativeFillColor rgb="FFFF0000"/>
              <x14:axisColor rgb="FF000000"/>
            </x14:dataBar>
          </x14:cfRule>
          <xm:sqref>E99:F99</xm:sqref>
        </x14:conditionalFormatting>
        <x14:conditionalFormatting xmlns:xm="http://schemas.microsoft.com/office/excel/2006/main">
          <x14:cfRule type="dataBar" id="{AD9918FD-7420-47E4-8841-2E1C8407F1B5}">
            <x14:dataBar minLength="0" maxLength="100" gradient="0">
              <x14:cfvo type="autoMin"/>
              <x14:cfvo type="autoMax"/>
              <x14:negativeFillColor rgb="FFFF0000"/>
              <x14:axisColor rgb="FF000000"/>
            </x14:dataBar>
          </x14:cfRule>
          <xm:sqref>G99:H99</xm:sqref>
        </x14:conditionalFormatting>
        <x14:conditionalFormatting xmlns:xm="http://schemas.microsoft.com/office/excel/2006/main">
          <x14:cfRule type="dataBar" id="{ECD03FC5-D291-43FD-BB09-4A567BF4CC1F}">
            <x14:dataBar minLength="0" maxLength="100" gradient="0">
              <x14:cfvo type="autoMin"/>
              <x14:cfvo type="autoMax"/>
              <x14:negativeFillColor rgb="FFFF0000"/>
              <x14:axisColor rgb="FF000000"/>
            </x14:dataBar>
          </x14:cfRule>
          <xm:sqref>I99:J99</xm:sqref>
        </x14:conditionalFormatting>
        <x14:conditionalFormatting xmlns:xm="http://schemas.microsoft.com/office/excel/2006/main">
          <x14:cfRule type="dataBar" id="{D17DC600-7DEF-4595-BAA6-F4B58C0164B5}">
            <x14:dataBar minLength="0" maxLength="100" gradient="0">
              <x14:cfvo type="autoMin"/>
              <x14:cfvo type="autoMax"/>
              <x14:negativeFillColor rgb="FFFF0000"/>
              <x14:axisColor rgb="FF000000"/>
            </x14:dataBar>
          </x14:cfRule>
          <xm:sqref>K99:L99</xm:sqref>
        </x14:conditionalFormatting>
        <x14:conditionalFormatting xmlns:xm="http://schemas.microsoft.com/office/excel/2006/main">
          <x14:cfRule type="dataBar" id="{C29C7B73-1B90-4EF1-A02A-4FF9829171E9}">
            <x14:dataBar minLength="0" maxLength="100" gradient="0">
              <x14:cfvo type="autoMin"/>
              <x14:cfvo type="autoMax"/>
              <x14:negativeFillColor rgb="FFFF0000"/>
              <x14:axisColor rgb="FF000000"/>
            </x14:dataBar>
          </x14:cfRule>
          <xm:sqref>M99:N99</xm:sqref>
        </x14:conditionalFormatting>
        <x14:conditionalFormatting xmlns:xm="http://schemas.microsoft.com/office/excel/2006/main">
          <x14:cfRule type="dataBar" id="{7B483902-7B74-43C0-B826-108B0D20AC66}">
            <x14:dataBar minLength="0" maxLength="100" gradient="0">
              <x14:cfvo type="autoMin"/>
              <x14:cfvo type="autoMax"/>
              <x14:negativeFillColor rgb="FFFF0000"/>
              <x14:axisColor rgb="FF000000"/>
            </x14:dataBar>
          </x14:cfRule>
          <xm:sqref>O99:P99</xm:sqref>
        </x14:conditionalFormatting>
        <x14:conditionalFormatting xmlns:xm="http://schemas.microsoft.com/office/excel/2006/main">
          <x14:cfRule type="dataBar" id="{405228E6-E6BB-419A-B345-86E2B36DB949}">
            <x14:dataBar minLength="0" maxLength="100" gradient="0">
              <x14:cfvo type="autoMin"/>
              <x14:cfvo type="autoMax"/>
              <x14:negativeFillColor rgb="FFFF0000"/>
              <x14:axisColor rgb="FF000000"/>
            </x14:dataBar>
          </x14:cfRule>
          <xm:sqref>Q99:R99</xm:sqref>
        </x14:conditionalFormatting>
        <x14:conditionalFormatting xmlns:xm="http://schemas.microsoft.com/office/excel/2006/main">
          <x14:cfRule type="dataBar" id="{9CB4E557-97CA-4AEB-8FB8-328F401D7837}">
            <x14:dataBar minLength="0" maxLength="100" gradient="0">
              <x14:cfvo type="autoMin"/>
              <x14:cfvo type="autoMax"/>
              <x14:negativeFillColor rgb="FFFF0000"/>
              <x14:axisColor rgb="FF000000"/>
            </x14:dataBar>
          </x14:cfRule>
          <xm:sqref>T99:U99</xm:sqref>
        </x14:conditionalFormatting>
        <x14:conditionalFormatting xmlns:xm="http://schemas.microsoft.com/office/excel/2006/main">
          <x14:cfRule type="dataBar" id="{DD3597B6-1879-4A1B-B549-2B594B19C856}">
            <x14:dataBar minLength="0" maxLength="100" gradient="0">
              <x14:cfvo type="autoMin"/>
              <x14:cfvo type="autoMax"/>
              <x14:negativeFillColor rgb="FFFF0000"/>
              <x14:axisColor rgb="FF000000"/>
            </x14:dataBar>
          </x14:cfRule>
          <xm:sqref>V99:W99</xm:sqref>
        </x14:conditionalFormatting>
        <x14:conditionalFormatting xmlns:xm="http://schemas.microsoft.com/office/excel/2006/main">
          <x14:cfRule type="dataBar" id="{A7663C52-1A7C-48EF-9EFB-96CBA1152C52}">
            <x14:dataBar minLength="0" maxLength="100" gradient="0">
              <x14:cfvo type="autoMin"/>
              <x14:cfvo type="autoMax"/>
              <x14:negativeFillColor rgb="FFFF0000"/>
              <x14:axisColor rgb="FF000000"/>
            </x14:dataBar>
          </x14:cfRule>
          <xm:sqref>X99:Y99</xm:sqref>
        </x14:conditionalFormatting>
        <x14:conditionalFormatting xmlns:xm="http://schemas.microsoft.com/office/excel/2006/main">
          <x14:cfRule type="dataBar" id="{B0535630-473C-4E46-A99F-93A267D87F22}">
            <x14:dataBar minLength="0" maxLength="100" gradient="0">
              <x14:cfvo type="autoMin"/>
              <x14:cfvo type="autoMax"/>
              <x14:negativeFillColor rgb="FFFF0000"/>
              <x14:axisColor rgb="FF000000"/>
            </x14:dataBar>
          </x14:cfRule>
          <xm:sqref>Z99:AA99</xm:sqref>
        </x14:conditionalFormatting>
        <x14:conditionalFormatting xmlns:xm="http://schemas.microsoft.com/office/excel/2006/main">
          <x14:cfRule type="dataBar" id="{E0A89910-5996-474F-825F-92BEA5EF50DB}">
            <x14:dataBar minLength="0" maxLength="100" gradient="0">
              <x14:cfvo type="autoMin"/>
              <x14:cfvo type="autoMax"/>
              <x14:negativeFillColor rgb="FFFF0000"/>
              <x14:axisColor rgb="FF000000"/>
            </x14:dataBar>
          </x14:cfRule>
          <xm:sqref>AC99:AD99</xm:sqref>
        </x14:conditionalFormatting>
        <x14:conditionalFormatting xmlns:xm="http://schemas.microsoft.com/office/excel/2006/main">
          <x14:cfRule type="dataBar" id="{881406D2-C75E-4E13-A18F-12729C68F336}">
            <x14:dataBar minLength="0" maxLength="100" gradient="0">
              <x14:cfvo type="autoMin"/>
              <x14:cfvo type="autoMax"/>
              <x14:negativeFillColor rgb="FFFF0000"/>
              <x14:axisColor rgb="FF000000"/>
            </x14:dataBar>
          </x14:cfRule>
          <xm:sqref>AE99:AF99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AJ31"/>
  <sheetViews>
    <sheetView topLeftCell="D1" workbookViewId="0">
      <selection activeCell="AB13" sqref="AB13"/>
    </sheetView>
  </sheetViews>
  <sheetFormatPr baseColWidth="10" defaultColWidth="11.42578125" defaultRowHeight="12.75" x14ac:dyDescent="0.2"/>
  <cols>
    <col min="1" max="1" width="5.7109375" style="2" bestFit="1" customWidth="1"/>
    <col min="2" max="2" width="19.140625" style="1" customWidth="1"/>
    <col min="3" max="5" width="2.7109375" style="19" customWidth="1"/>
    <col min="6" max="6" width="3" style="19" bestFit="1" customWidth="1"/>
    <col min="7" max="9" width="2.7109375" style="19" customWidth="1"/>
    <col min="10" max="10" width="2.7109375" style="2" customWidth="1"/>
    <col min="11" max="12" width="2.140625" customWidth="1"/>
    <col min="13" max="13" width="5.7109375" bestFit="1" customWidth="1"/>
    <col min="14" max="14" width="19.140625" style="1" customWidth="1"/>
    <col min="15" max="21" width="2.7109375" style="18" customWidth="1"/>
    <col min="22" max="22" width="2.7109375" customWidth="1"/>
    <col min="23" max="24" width="2.140625" customWidth="1"/>
    <col min="25" max="25" width="5.7109375" bestFit="1" customWidth="1"/>
    <col min="26" max="26" width="19.140625" style="1" customWidth="1"/>
    <col min="27" max="33" width="2.7109375" style="17" customWidth="1"/>
    <col min="34" max="34" width="2.7109375" customWidth="1"/>
    <col min="35" max="36" width="2.140625" customWidth="1"/>
  </cols>
  <sheetData>
    <row r="1" spans="1:36" x14ac:dyDescent="0.2">
      <c r="A1" s="53"/>
      <c r="C1" s="54"/>
      <c r="D1" s="54"/>
      <c r="E1" s="54"/>
      <c r="F1" s="54"/>
      <c r="G1" s="54"/>
      <c r="H1" s="54"/>
      <c r="I1" s="54"/>
    </row>
    <row r="2" spans="1:36" x14ac:dyDescent="0.2">
      <c r="A2" s="53"/>
      <c r="B2" s="83"/>
      <c r="C2" s="84"/>
      <c r="D2" s="84"/>
      <c r="E2" s="84"/>
      <c r="F2" s="84"/>
      <c r="G2" s="84"/>
      <c r="H2" s="84"/>
      <c r="I2" s="84"/>
      <c r="Y2" s="83"/>
      <c r="Z2" s="83"/>
      <c r="AA2" s="89"/>
      <c r="AB2" s="89"/>
      <c r="AC2" s="89"/>
      <c r="AD2" s="89"/>
      <c r="AE2" s="89"/>
      <c r="AF2" s="89"/>
      <c r="AG2" s="89"/>
    </row>
    <row r="3" spans="1:36" ht="13.5" thickBot="1" x14ac:dyDescent="0.25">
      <c r="A3" s="70" t="s">
        <v>27</v>
      </c>
      <c r="B3" s="80" t="s">
        <v>39</v>
      </c>
      <c r="C3" s="78">
        <v>3</v>
      </c>
      <c r="D3" s="78">
        <v>1</v>
      </c>
      <c r="E3" s="78">
        <v>1</v>
      </c>
      <c r="F3" s="78">
        <v>3</v>
      </c>
      <c r="G3" s="78"/>
      <c r="H3" s="78"/>
      <c r="I3" s="78"/>
      <c r="J3" s="71">
        <f>IF(C3&gt;C4,1,0)+IF(D3&gt;D4,1,0)+IF(E3&gt;E4,1,0)+IF(F3&gt;F4,1,0)+IF(G3&gt;G4,1,0)+IF(H3&gt;H4,1,0)+IF(I3&gt;I4,1,0)</f>
        <v>0</v>
      </c>
      <c r="K3" s="13"/>
      <c r="M3" s="83"/>
      <c r="N3" s="83"/>
      <c r="O3" s="85"/>
      <c r="P3" s="85"/>
      <c r="Q3" s="85"/>
      <c r="R3" s="85"/>
      <c r="S3" s="85"/>
      <c r="T3" s="85"/>
      <c r="U3" s="85"/>
      <c r="Y3" s="83"/>
      <c r="Z3" s="83"/>
      <c r="AA3" s="89"/>
      <c r="AB3" s="89"/>
      <c r="AC3" s="89"/>
      <c r="AD3" s="89"/>
      <c r="AE3" s="89"/>
      <c r="AF3" s="89"/>
      <c r="AG3" s="89"/>
    </row>
    <row r="4" spans="1:36" x14ac:dyDescent="0.2">
      <c r="A4" s="70" t="s">
        <v>54</v>
      </c>
      <c r="B4" s="80" t="s">
        <v>55</v>
      </c>
      <c r="C4" s="78">
        <v>4</v>
      </c>
      <c r="D4" s="78">
        <v>5</v>
      </c>
      <c r="E4" s="78">
        <v>3</v>
      </c>
      <c r="F4" s="78">
        <v>7</v>
      </c>
      <c r="G4" s="78"/>
      <c r="H4" s="78"/>
      <c r="I4" s="78"/>
      <c r="J4" s="71">
        <f>IF(C4&gt;C3,1,0)+IF(D4&gt;D3,1,0)+IF(E4&gt;E3,1,0)+IF(F4&gt;F3,1,0)+IF(G4&gt;G3,1,0)+IF(H4&gt;H3,1,0)+IF(I4&gt;I3,1,0)</f>
        <v>4</v>
      </c>
      <c r="K4" s="14"/>
      <c r="L4" s="4"/>
      <c r="M4" s="83"/>
      <c r="N4" s="83"/>
      <c r="O4" s="85"/>
      <c r="P4" s="85"/>
      <c r="Q4" s="85"/>
      <c r="R4" s="85"/>
      <c r="S4" s="85"/>
      <c r="T4" s="85"/>
      <c r="U4" s="85"/>
      <c r="Y4" s="83"/>
      <c r="Z4" s="83"/>
      <c r="AA4" s="89"/>
      <c r="AB4" s="89"/>
      <c r="AC4" s="89"/>
      <c r="AD4" s="89"/>
      <c r="AE4" s="89"/>
      <c r="AF4" s="89"/>
      <c r="AG4" s="89"/>
    </row>
    <row r="5" spans="1:36" x14ac:dyDescent="0.2">
      <c r="A5" s="53"/>
      <c r="B5" s="83"/>
      <c r="C5" s="84"/>
      <c r="D5" s="84"/>
      <c r="E5" s="84"/>
      <c r="F5" s="84"/>
      <c r="G5" s="84"/>
      <c r="H5" s="84"/>
      <c r="I5" s="84"/>
      <c r="K5" s="14"/>
      <c r="L5" s="4"/>
      <c r="M5" s="83"/>
      <c r="N5" s="83"/>
      <c r="O5" s="85"/>
      <c r="P5" s="85"/>
      <c r="Q5" s="85"/>
      <c r="R5" s="85"/>
      <c r="S5" s="85"/>
      <c r="T5" s="85"/>
      <c r="U5" s="85"/>
      <c r="Y5" s="83"/>
      <c r="Z5" s="83"/>
      <c r="AA5" s="89"/>
      <c r="AB5" s="89"/>
      <c r="AC5" s="89"/>
      <c r="AD5" s="89"/>
      <c r="AE5" s="89"/>
      <c r="AF5" s="89"/>
      <c r="AG5" s="89"/>
    </row>
    <row r="6" spans="1:36" ht="13.5" thickBot="1" x14ac:dyDescent="0.25">
      <c r="A6" s="70" t="s">
        <v>28</v>
      </c>
      <c r="B6" s="80" t="s">
        <v>40</v>
      </c>
      <c r="C6" s="78">
        <v>1</v>
      </c>
      <c r="D6" s="78">
        <v>4</v>
      </c>
      <c r="E6" s="78">
        <v>2</v>
      </c>
      <c r="F6" s="78">
        <v>6</v>
      </c>
      <c r="G6" s="78">
        <v>1</v>
      </c>
      <c r="H6" s="78">
        <v>4</v>
      </c>
      <c r="I6" s="78">
        <v>5</v>
      </c>
      <c r="J6" s="71">
        <f>IF(C6&gt;C7,1,0)+IF(D6&gt;D7,1,0)+IF(E6&gt;E7,1,0)+IF(F6&gt;F7,1,0)+IF(G6&gt;G7,1,0)+IF(H6&gt;H7,1,0)+IF(I6&gt;I7,1,0)</f>
        <v>4</v>
      </c>
      <c r="K6" s="16"/>
      <c r="L6" s="13"/>
      <c r="M6" s="70" t="s">
        <v>28</v>
      </c>
      <c r="N6" s="80" t="s">
        <v>40</v>
      </c>
      <c r="O6" s="78">
        <v>3</v>
      </c>
      <c r="P6" s="78">
        <v>2</v>
      </c>
      <c r="Q6" s="78">
        <v>1</v>
      </c>
      <c r="R6" s="78">
        <v>4</v>
      </c>
      <c r="S6" s="78">
        <v>4</v>
      </c>
      <c r="T6" s="78">
        <v>3</v>
      </c>
      <c r="U6" s="78"/>
      <c r="V6" s="71">
        <f>IF(O6&gt;O7,1,0)+IF(P6&gt;P7,1,0)+IF(Q6&gt;Q7,1,0)+IF(R6&gt;R7,1,0)+IF(S6&gt;S7,1,0)+IF(T6&gt;T7,1,0)+IF(U6&gt;U7,1,0)</f>
        <v>4</v>
      </c>
      <c r="W6" s="13"/>
      <c r="Y6" s="83"/>
      <c r="Z6" s="83"/>
      <c r="AA6" s="89"/>
      <c r="AB6" s="89"/>
      <c r="AC6" s="89"/>
      <c r="AD6" s="89"/>
      <c r="AE6" s="89"/>
      <c r="AF6" s="89"/>
      <c r="AG6" s="89"/>
    </row>
    <row r="7" spans="1:36" x14ac:dyDescent="0.2">
      <c r="A7" s="70" t="s">
        <v>29</v>
      </c>
      <c r="B7" s="80" t="s">
        <v>41</v>
      </c>
      <c r="C7" s="78">
        <v>4</v>
      </c>
      <c r="D7" s="78">
        <v>1</v>
      </c>
      <c r="E7" s="78">
        <v>3</v>
      </c>
      <c r="F7" s="78">
        <v>4</v>
      </c>
      <c r="G7" s="78">
        <v>2</v>
      </c>
      <c r="H7" s="78">
        <v>2</v>
      </c>
      <c r="I7" s="78">
        <v>1</v>
      </c>
      <c r="J7" s="71">
        <f>IF(C7&gt;C6,1,0)+IF(D7&gt;D6,1,0)+IF(E7&gt;E6,1,0)+IF(F7&gt;F6,1,0)+IF(G7&gt;G6,1,0)+IF(H7&gt;H6,1,0)+IF(I7&gt;I6,1,0)</f>
        <v>3</v>
      </c>
      <c r="K7" s="55"/>
      <c r="L7" s="4"/>
      <c r="M7" s="70" t="s">
        <v>54</v>
      </c>
      <c r="N7" s="80" t="s">
        <v>55</v>
      </c>
      <c r="O7" s="78">
        <v>2</v>
      </c>
      <c r="P7" s="78">
        <v>3</v>
      </c>
      <c r="Q7" s="78">
        <v>2</v>
      </c>
      <c r="R7" s="78">
        <v>1</v>
      </c>
      <c r="S7" s="78">
        <v>3</v>
      </c>
      <c r="T7" s="78">
        <v>0</v>
      </c>
      <c r="U7" s="78"/>
      <c r="V7" s="71">
        <f>IF(O7&gt;O6,1,0)+IF(P7&gt;P6,1,0)+IF(Q7&gt;Q6,1,0)+IF(R7&gt;R6,1,0)+IF(S7&gt;S6,1,0)+IF(T7&gt;T6,1,0)+IF(U7&gt;U6,1,0)</f>
        <v>2</v>
      </c>
      <c r="W7" s="14"/>
      <c r="X7" s="4"/>
      <c r="Y7" s="83"/>
      <c r="Z7" s="83"/>
      <c r="AA7" s="89"/>
      <c r="AB7" s="89"/>
      <c r="AC7" s="89"/>
      <c r="AD7" s="89"/>
      <c r="AE7" s="89"/>
      <c r="AF7" s="89"/>
      <c r="AG7" s="89"/>
    </row>
    <row r="8" spans="1:36" ht="13.5" thickBot="1" x14ac:dyDescent="0.25">
      <c r="A8" s="53"/>
      <c r="B8" s="83"/>
      <c r="C8" s="84"/>
      <c r="D8" s="84"/>
      <c r="E8" s="84"/>
      <c r="F8" s="84"/>
      <c r="G8" s="84"/>
      <c r="H8" s="84"/>
      <c r="I8" s="84"/>
      <c r="K8" s="4"/>
      <c r="L8" s="4"/>
      <c r="M8" s="86"/>
      <c r="N8" s="83"/>
      <c r="O8" s="87"/>
      <c r="P8" s="87"/>
      <c r="Q8" s="87"/>
      <c r="R8" s="87"/>
      <c r="S8" s="87"/>
      <c r="T8" s="87"/>
      <c r="U8" s="87"/>
      <c r="V8" s="2"/>
      <c r="W8" s="14"/>
      <c r="X8" s="13"/>
      <c r="Y8" s="70" t="s">
        <v>28</v>
      </c>
      <c r="Z8" s="80" t="s">
        <v>40</v>
      </c>
      <c r="AA8" s="78">
        <v>5</v>
      </c>
      <c r="AB8" s="78">
        <v>6</v>
      </c>
      <c r="AC8" s="78">
        <v>2</v>
      </c>
      <c r="AD8" s="78">
        <v>4</v>
      </c>
      <c r="AE8" s="78"/>
      <c r="AF8" s="78"/>
      <c r="AG8" s="78"/>
      <c r="AH8" s="71">
        <f>IF(AA8&gt;AA9,1,0)+IF(AB8&gt;AB9,1,0)+IF(AC8&gt;AC9,1,0)+IF(AD8&gt;AD9,1,0)+IF(AE8&gt;AE9,1,0)+IF(AF8&gt;AF9,1,0)+IF(AG8&gt;AG9,1,0)</f>
        <v>4</v>
      </c>
      <c r="AI8" s="13"/>
      <c r="AJ8" s="13"/>
    </row>
    <row r="9" spans="1:36" x14ac:dyDescent="0.2">
      <c r="A9" s="53"/>
      <c r="B9" s="83"/>
      <c r="C9" s="84"/>
      <c r="D9" s="84"/>
      <c r="E9" s="84"/>
      <c r="F9" s="84"/>
      <c r="G9" s="84"/>
      <c r="H9" s="84"/>
      <c r="I9" s="84"/>
      <c r="K9" s="4"/>
      <c r="L9" s="4"/>
      <c r="M9" s="86"/>
      <c r="N9" s="83"/>
      <c r="O9" s="87"/>
      <c r="P9" s="87"/>
      <c r="Q9" s="87"/>
      <c r="R9" s="87"/>
      <c r="S9" s="87"/>
      <c r="T9" s="87"/>
      <c r="U9" s="87"/>
      <c r="V9" s="2"/>
      <c r="W9" s="14"/>
      <c r="X9" s="4"/>
      <c r="Y9" s="70" t="s">
        <v>56</v>
      </c>
      <c r="Z9" s="80" t="s">
        <v>57</v>
      </c>
      <c r="AA9" s="78">
        <v>2</v>
      </c>
      <c r="AB9" s="78">
        <v>2</v>
      </c>
      <c r="AC9" s="78">
        <v>1</v>
      </c>
      <c r="AD9" s="78">
        <v>0</v>
      </c>
      <c r="AE9" s="78"/>
      <c r="AF9" s="78"/>
      <c r="AG9" s="78"/>
      <c r="AH9" s="71">
        <f>IF(AA9&gt;AA8,1,0)+IF(AB9&gt;AB8,1,0)+IF(AC9&gt;AC8,1,0)+IF(AD9&gt;AD8,1,0)+IF(AE9&gt;AE8,1,0)+IF(AF9&gt;AF8,1,0)+IF(AG9&gt;AG8,1,0)</f>
        <v>0</v>
      </c>
      <c r="AI9" s="4"/>
      <c r="AJ9" s="14"/>
    </row>
    <row r="10" spans="1:36" ht="13.5" thickBot="1" x14ac:dyDescent="0.25">
      <c r="A10" s="70" t="s">
        <v>30</v>
      </c>
      <c r="B10" s="80" t="s">
        <v>42</v>
      </c>
      <c r="C10" s="78">
        <v>4</v>
      </c>
      <c r="D10" s="78">
        <v>4</v>
      </c>
      <c r="E10" s="78"/>
      <c r="F10" s="78">
        <v>1</v>
      </c>
      <c r="G10" s="79">
        <v>6</v>
      </c>
      <c r="H10" s="78">
        <v>2</v>
      </c>
      <c r="I10" s="79">
        <v>3</v>
      </c>
      <c r="J10" s="71">
        <f>IF(C10&gt;C11,1,0)+IF(D10&gt;D11,1,0)+IF(E10&gt;E11,1,0)+IF(F10&gt;F11,1,0)+IF(G10&gt;G11,1,0)+IF(H10&gt;H11,1,0)+IF(I10&gt;I11,1,0)</f>
        <v>3</v>
      </c>
      <c r="K10" s="13"/>
      <c r="L10" s="13"/>
      <c r="M10" s="70" t="s">
        <v>31</v>
      </c>
      <c r="N10" s="80" t="s">
        <v>58</v>
      </c>
      <c r="O10" s="78">
        <v>0</v>
      </c>
      <c r="P10" s="78">
        <v>1</v>
      </c>
      <c r="Q10" s="78">
        <v>2</v>
      </c>
      <c r="R10" s="78">
        <v>2</v>
      </c>
      <c r="S10" s="78"/>
      <c r="T10" s="78"/>
      <c r="U10" s="78"/>
      <c r="V10" s="71">
        <f>IF(O10&gt;O11,1,0)+IF(P10&gt;P11,1,0)+IF(Q10&gt;Q11,1,0)+IF(R10&gt;R11,1,0)+IF(S10&gt;S11,1,0)+IF(T10&gt;T11,1,0)+IF(U10&gt;U11,1,0)</f>
        <v>0</v>
      </c>
      <c r="W10" s="16"/>
      <c r="X10" s="4"/>
      <c r="Y10" s="90"/>
      <c r="Z10" s="83"/>
      <c r="AA10" s="89"/>
      <c r="AB10" s="89"/>
      <c r="AC10" s="89"/>
      <c r="AD10" s="89"/>
      <c r="AE10" s="89"/>
      <c r="AF10" s="89"/>
      <c r="AG10" s="89"/>
      <c r="AI10" s="4"/>
      <c r="AJ10" s="14"/>
    </row>
    <row r="11" spans="1:36" x14ac:dyDescent="0.2">
      <c r="A11" s="70" t="s">
        <v>56</v>
      </c>
      <c r="B11" s="80" t="s">
        <v>57</v>
      </c>
      <c r="C11" s="78">
        <v>2</v>
      </c>
      <c r="D11" s="78">
        <v>3</v>
      </c>
      <c r="E11" s="78">
        <v>5</v>
      </c>
      <c r="F11" s="78">
        <v>2</v>
      </c>
      <c r="G11" s="79">
        <v>0</v>
      </c>
      <c r="H11" s="78">
        <v>5</v>
      </c>
      <c r="I11" s="79">
        <v>4</v>
      </c>
      <c r="J11" s="71">
        <f>IF(C11&gt;C10,1,0)+IF(D11&gt;D10,1,0)+IF(E11&gt;E10,1,0)+IF(F11&gt;F10,1,0)+IF(G11&gt;G10,1,0)+IF(H11&gt;H10,1,0)+IF(I11&gt;I10,1,0)</f>
        <v>4</v>
      </c>
      <c r="K11" s="14"/>
      <c r="L11" s="4"/>
      <c r="M11" s="70" t="s">
        <v>56</v>
      </c>
      <c r="N11" s="80" t="s">
        <v>57</v>
      </c>
      <c r="O11" s="78">
        <v>1</v>
      </c>
      <c r="P11" s="78">
        <v>2</v>
      </c>
      <c r="Q11" s="78">
        <v>5</v>
      </c>
      <c r="R11" s="78">
        <v>5</v>
      </c>
      <c r="S11" s="78"/>
      <c r="T11" s="78"/>
      <c r="U11" s="78"/>
      <c r="V11" s="71">
        <f>IF(O11&gt;O10,1,0)+IF(P11&gt;P10,1,0)+IF(Q11&gt;Q10,1,0)+IF(R11&gt;R10,1,0)+IF(S11&gt;S10,1,0)+IF(T11&gt;T10,1,0)+IF(U11&gt;U10,1,0)</f>
        <v>4</v>
      </c>
      <c r="Y11" s="90"/>
      <c r="Z11" s="83"/>
      <c r="AA11" s="89"/>
      <c r="AB11" s="89"/>
      <c r="AC11" s="89"/>
      <c r="AD11" s="89"/>
      <c r="AE11" s="89"/>
      <c r="AF11" s="89"/>
      <c r="AG11" s="89"/>
      <c r="AI11" s="4"/>
      <c r="AJ11" s="14"/>
    </row>
    <row r="12" spans="1:36" x14ac:dyDescent="0.2">
      <c r="A12" s="53"/>
      <c r="B12" s="83"/>
      <c r="C12" s="84"/>
      <c r="D12" s="84"/>
      <c r="E12" s="84">
        <v>0</v>
      </c>
      <c r="F12" s="84"/>
      <c r="G12" s="84"/>
      <c r="H12" s="84"/>
      <c r="I12" s="84"/>
      <c r="K12" s="14"/>
      <c r="L12" s="4"/>
      <c r="M12" s="83"/>
      <c r="N12" s="83"/>
      <c r="O12" s="85"/>
      <c r="P12" s="85"/>
      <c r="Q12" s="85"/>
      <c r="R12" s="85"/>
      <c r="S12" s="85"/>
      <c r="T12" s="85"/>
      <c r="U12" s="85"/>
      <c r="Y12" s="90"/>
      <c r="Z12" s="83"/>
      <c r="AA12" s="89"/>
      <c r="AB12" s="89"/>
      <c r="AC12" s="89"/>
      <c r="AD12" s="89"/>
      <c r="AE12" s="89"/>
      <c r="AF12" s="89"/>
      <c r="AG12" s="89"/>
      <c r="AI12" s="4"/>
      <c r="AJ12" s="14"/>
    </row>
    <row r="13" spans="1:36" ht="13.5" thickBot="1" x14ac:dyDescent="0.25">
      <c r="A13" s="70" t="s">
        <v>31</v>
      </c>
      <c r="B13" s="80" t="s">
        <v>58</v>
      </c>
      <c r="C13" s="78">
        <v>4</v>
      </c>
      <c r="D13" s="79">
        <v>3</v>
      </c>
      <c r="E13" s="78">
        <v>4</v>
      </c>
      <c r="F13" s="78">
        <v>3</v>
      </c>
      <c r="G13" s="79"/>
      <c r="H13" s="79"/>
      <c r="I13" s="79"/>
      <c r="J13" s="71">
        <f>IF(C13&gt;C14,1,0)+IF(D13&gt;D14,1,0)+IF(E13&gt;E14,1,0)+IF(F13&gt;F14,1,0)+IF(G13&gt;G14,1,0)+IF(H13&gt;H14,1,0)+IF(I13&gt;I14,1,0)</f>
        <v>4</v>
      </c>
      <c r="K13" s="16"/>
      <c r="L13" s="4"/>
      <c r="M13" s="83"/>
      <c r="N13" s="83"/>
      <c r="O13" s="85"/>
      <c r="P13" s="85"/>
      <c r="Q13" s="85"/>
      <c r="R13" s="85"/>
      <c r="S13" s="85"/>
      <c r="T13" s="85"/>
      <c r="U13" s="85"/>
      <c r="X13" s="4"/>
      <c r="Y13" s="91"/>
      <c r="Z13" s="83"/>
      <c r="AA13" s="89"/>
      <c r="AB13" s="89"/>
      <c r="AC13" s="89"/>
      <c r="AD13" s="89"/>
      <c r="AE13" s="89"/>
      <c r="AF13" s="89"/>
      <c r="AG13" s="89"/>
      <c r="AI13" s="4"/>
      <c r="AJ13" s="14"/>
    </row>
    <row r="14" spans="1:36" x14ac:dyDescent="0.2">
      <c r="A14" s="70" t="s">
        <v>32</v>
      </c>
      <c r="B14" s="80" t="s">
        <v>43</v>
      </c>
      <c r="C14" s="78">
        <v>3</v>
      </c>
      <c r="D14" s="79">
        <v>1</v>
      </c>
      <c r="E14" s="78">
        <v>1</v>
      </c>
      <c r="F14" s="78">
        <v>1</v>
      </c>
      <c r="G14" s="79"/>
      <c r="H14" s="79"/>
      <c r="I14" s="79"/>
      <c r="J14" s="71">
        <f>IF(C14&gt;C13,1,0)+IF(D14&gt;D13,1,0)+IF(E14&gt;E13,1,0)+IF(F14&gt;F13,1,0)+IF(G14&gt;G13,1,0)+IF(H14&gt;H13,1,0)+IF(I14&gt;I13,1,0)</f>
        <v>0</v>
      </c>
      <c r="M14" s="83"/>
      <c r="N14" s="83"/>
      <c r="O14" s="85"/>
      <c r="P14" s="85"/>
      <c r="Q14" s="85"/>
      <c r="R14" s="85"/>
      <c r="S14" s="85"/>
      <c r="T14" s="85"/>
      <c r="U14" s="85"/>
      <c r="X14" s="5"/>
      <c r="Y14" s="92"/>
      <c r="Z14" s="92"/>
      <c r="AA14" s="92"/>
      <c r="AB14" s="92"/>
      <c r="AC14" s="92"/>
      <c r="AD14" s="92"/>
      <c r="AE14" s="92"/>
      <c r="AF14" s="92"/>
      <c r="AG14" s="92"/>
      <c r="AH14" s="6"/>
      <c r="AI14" s="7"/>
      <c r="AJ14" s="14"/>
    </row>
    <row r="15" spans="1:36" ht="13.5" thickBot="1" x14ac:dyDescent="0.25">
      <c r="A15" s="53"/>
      <c r="B15" s="83"/>
      <c r="C15" s="84"/>
      <c r="D15" s="84"/>
      <c r="E15" s="84"/>
      <c r="F15" s="84"/>
      <c r="G15" s="84"/>
      <c r="H15" s="84"/>
      <c r="I15" s="84"/>
      <c r="M15" s="83"/>
      <c r="N15" s="83"/>
      <c r="O15" s="85"/>
      <c r="P15" s="85"/>
      <c r="Q15" s="85"/>
      <c r="R15" s="85"/>
      <c r="S15" s="85"/>
      <c r="T15" s="85"/>
      <c r="U15" s="85"/>
      <c r="X15" s="12"/>
      <c r="Y15" s="70" t="s">
        <v>28</v>
      </c>
      <c r="Z15" s="80" t="s">
        <v>40</v>
      </c>
      <c r="AA15" s="78">
        <v>4</v>
      </c>
      <c r="AB15" s="78">
        <v>2</v>
      </c>
      <c r="AC15" s="78">
        <v>7</v>
      </c>
      <c r="AD15" s="78">
        <v>2</v>
      </c>
      <c r="AE15" s="78">
        <v>1</v>
      </c>
      <c r="AF15" s="78">
        <v>5</v>
      </c>
      <c r="AG15" s="78">
        <v>1</v>
      </c>
      <c r="AH15" s="71">
        <f>IF(AA15&gt;AA16,1,0)+IF(AB15&gt;AB16,1,0)+IF(AC15&gt;AC16,1,0)+IF(AD15&gt;AD16,1,0)+IF(AE15&gt;AE16,1,0)+IF(AF15&gt;AF16,1,0)+IF(AG15&gt;AG16,1,0)</f>
        <v>3</v>
      </c>
      <c r="AI15" s="8"/>
      <c r="AJ15" s="15"/>
    </row>
    <row r="16" spans="1:36" x14ac:dyDescent="0.2">
      <c r="A16" s="53"/>
      <c r="B16" s="83"/>
      <c r="C16" s="84"/>
      <c r="D16" s="84"/>
      <c r="E16" s="84"/>
      <c r="F16" s="84"/>
      <c r="G16" s="84"/>
      <c r="H16" s="84"/>
      <c r="I16" s="84"/>
      <c r="M16" s="83"/>
      <c r="N16" s="83"/>
      <c r="O16" s="85"/>
      <c r="P16" s="85"/>
      <c r="Q16" s="85"/>
      <c r="R16" s="85"/>
      <c r="S16" s="85"/>
      <c r="T16" s="85"/>
      <c r="U16" s="85"/>
      <c r="X16" s="12"/>
      <c r="Y16" s="70" t="s">
        <v>38</v>
      </c>
      <c r="Z16" s="80" t="s">
        <v>60</v>
      </c>
      <c r="AA16" s="78">
        <v>2</v>
      </c>
      <c r="AB16" s="78">
        <v>3</v>
      </c>
      <c r="AC16" s="78">
        <v>2</v>
      </c>
      <c r="AD16" s="78">
        <v>4</v>
      </c>
      <c r="AE16" s="78">
        <v>2</v>
      </c>
      <c r="AF16" s="78">
        <v>1</v>
      </c>
      <c r="AG16" s="78">
        <v>4</v>
      </c>
      <c r="AH16" s="71">
        <f>IF(AA16&gt;AA15,1,0)+IF(AB16&gt;AB15,1,0)+IF(AC16&gt;AC15,1,0)+IF(AD16&gt;AD15,1,0)+IF(AE16&gt;AE15,1,0)+IF(AF16&gt;AF15,1,0)+IF(AG16&gt;AG15,1,0)</f>
        <v>4</v>
      </c>
      <c r="AI16" s="8"/>
      <c r="AJ16" s="14"/>
    </row>
    <row r="17" spans="1:36" ht="13.5" thickBot="1" x14ac:dyDescent="0.25">
      <c r="A17" s="70" t="s">
        <v>36</v>
      </c>
      <c r="B17" s="80" t="s">
        <v>59</v>
      </c>
      <c r="C17" s="78">
        <v>4</v>
      </c>
      <c r="D17" s="79">
        <v>2</v>
      </c>
      <c r="E17" s="78">
        <v>2</v>
      </c>
      <c r="F17" s="79">
        <v>2</v>
      </c>
      <c r="G17" s="78">
        <v>1</v>
      </c>
      <c r="H17" s="78"/>
      <c r="I17" s="78"/>
      <c r="J17" s="71">
        <f>IF(C17&gt;C18,1,0)+IF(D17&gt;D18,1,0)+IF(E17&gt;E18,1,0)+IF(F17&gt;F18,1,0)+IF(G17&gt;G18,1,0)+IF(H17&gt;H18,1,0)+IF(I17&gt;I18,1,0)</f>
        <v>1</v>
      </c>
      <c r="K17" s="13"/>
      <c r="M17" s="83"/>
      <c r="N17" s="83"/>
      <c r="O17" s="85"/>
      <c r="P17" s="85"/>
      <c r="Q17" s="88"/>
      <c r="R17" s="85"/>
      <c r="S17" s="85"/>
      <c r="T17" s="85"/>
      <c r="U17" s="85"/>
      <c r="X17" s="10"/>
      <c r="Y17" s="93"/>
      <c r="Z17" s="93"/>
      <c r="AA17" s="93"/>
      <c r="AB17" s="93"/>
      <c r="AC17" s="93"/>
      <c r="AD17" s="93"/>
      <c r="AE17" s="93"/>
      <c r="AF17" s="93"/>
      <c r="AG17" s="93"/>
      <c r="AH17" s="11"/>
      <c r="AI17" s="9"/>
      <c r="AJ17" s="14"/>
    </row>
    <row r="18" spans="1:36" x14ac:dyDescent="0.2">
      <c r="A18" s="70" t="s">
        <v>54</v>
      </c>
      <c r="B18" s="80" t="s">
        <v>45</v>
      </c>
      <c r="C18" s="78">
        <v>0</v>
      </c>
      <c r="D18" s="79">
        <v>3</v>
      </c>
      <c r="E18" s="78">
        <v>6</v>
      </c>
      <c r="F18" s="79">
        <v>3</v>
      </c>
      <c r="G18" s="78">
        <v>5</v>
      </c>
      <c r="H18" s="78"/>
      <c r="I18" s="78"/>
      <c r="J18" s="71">
        <f>IF(C18&gt;C17,1,0)+IF(D18&gt;D17,1,0)+IF(E18&gt;E17,1,0)+IF(F18&gt;F17,1,0)+IF(G18&gt;G17,1,0)+IF(H18&gt;H17,1,0)+IF(I18&gt;I17,1,0)</f>
        <v>4</v>
      </c>
      <c r="K18" s="14"/>
      <c r="L18" s="4"/>
      <c r="M18" s="83"/>
      <c r="N18" s="83"/>
      <c r="O18" s="85"/>
      <c r="P18" s="85"/>
      <c r="Q18" s="85"/>
      <c r="R18" s="85"/>
      <c r="S18" s="85"/>
      <c r="T18" s="85"/>
      <c r="U18" s="85"/>
      <c r="Y18" s="94"/>
      <c r="Z18" s="83"/>
      <c r="AA18" s="89"/>
      <c r="AB18" s="89"/>
      <c r="AC18" s="89"/>
      <c r="AD18" s="89"/>
      <c r="AE18" s="89"/>
      <c r="AF18" s="89"/>
      <c r="AG18" s="89"/>
      <c r="AI18" s="4"/>
      <c r="AJ18" s="14"/>
    </row>
    <row r="19" spans="1:36" x14ac:dyDescent="0.2">
      <c r="A19" s="53"/>
      <c r="B19" s="83"/>
      <c r="C19" s="84"/>
      <c r="D19" s="84"/>
      <c r="E19" s="84"/>
      <c r="F19" s="84"/>
      <c r="G19" s="84"/>
      <c r="H19" s="84"/>
      <c r="I19" s="84"/>
      <c r="K19" s="14"/>
      <c r="L19" s="4"/>
      <c r="M19" s="83"/>
      <c r="N19" s="83"/>
      <c r="O19" s="85"/>
      <c r="P19" s="85"/>
      <c r="Q19" s="85"/>
      <c r="R19" s="85"/>
      <c r="S19" s="85"/>
      <c r="T19" s="85"/>
      <c r="U19" s="85"/>
      <c r="Y19" s="90"/>
      <c r="Z19" s="83"/>
      <c r="AA19" s="89"/>
      <c r="AB19" s="89"/>
      <c r="AC19" s="89"/>
      <c r="AD19" s="89"/>
      <c r="AE19" s="89"/>
      <c r="AF19" s="89"/>
      <c r="AG19" s="89"/>
      <c r="AI19" s="4"/>
      <c r="AJ19" s="14"/>
    </row>
    <row r="20" spans="1:36" ht="13.5" thickBot="1" x14ac:dyDescent="0.25">
      <c r="A20" s="70" t="s">
        <v>37</v>
      </c>
      <c r="B20" s="80" t="s">
        <v>46</v>
      </c>
      <c r="C20" s="78">
        <v>1</v>
      </c>
      <c r="D20" s="78">
        <v>3</v>
      </c>
      <c r="E20" s="78">
        <v>6</v>
      </c>
      <c r="F20" s="78">
        <v>2</v>
      </c>
      <c r="G20" s="78">
        <v>2</v>
      </c>
      <c r="H20" s="78">
        <v>2</v>
      </c>
      <c r="I20" s="79"/>
      <c r="J20" s="71">
        <f>IF(C20&gt;C21,1,0)+IF(D20&gt;D21,1,0)+IF(E20&gt;E21,1,0)+IF(F20&gt;F21,1,0)+IF(G20&gt;G21,1,0)+IF(H20&gt;H21,1,0)+IF(I20&gt;I21,1,0)</f>
        <v>2</v>
      </c>
      <c r="K20" s="16"/>
      <c r="L20" s="13"/>
      <c r="M20" s="70" t="s">
        <v>34</v>
      </c>
      <c r="N20" s="80" t="s">
        <v>48</v>
      </c>
      <c r="O20" s="78">
        <v>5</v>
      </c>
      <c r="P20" s="78">
        <v>3</v>
      </c>
      <c r="Q20" s="78">
        <v>4</v>
      </c>
      <c r="R20" s="78">
        <v>0</v>
      </c>
      <c r="S20" s="78">
        <v>2</v>
      </c>
      <c r="T20" s="78">
        <v>3</v>
      </c>
      <c r="U20" s="78">
        <v>3</v>
      </c>
      <c r="V20" s="71">
        <f>IF(O20&gt;O21,1,0)+IF(P20&gt;P21,1,0)+IF(Q20&gt;Q21,1,0)+IF(R20&gt;R21,1,0)+IF(S20&gt;S21,1,0)+IF(T20&gt;T21,1,0)+IF(U20&gt;U21,1,0)</f>
        <v>4</v>
      </c>
      <c r="W20" s="13"/>
      <c r="Y20" s="90"/>
      <c r="Z20" s="83"/>
      <c r="AA20" s="89"/>
      <c r="AB20" s="89"/>
      <c r="AC20" s="89"/>
      <c r="AD20" s="89"/>
      <c r="AE20" s="89"/>
      <c r="AF20" s="89"/>
      <c r="AG20" s="89"/>
      <c r="AI20" s="4"/>
      <c r="AJ20" s="14"/>
    </row>
    <row r="21" spans="1:36" x14ac:dyDescent="0.2">
      <c r="A21" s="70" t="s">
        <v>38</v>
      </c>
      <c r="B21" s="80" t="s">
        <v>60</v>
      </c>
      <c r="C21" s="78">
        <v>2</v>
      </c>
      <c r="D21" s="78">
        <v>4</v>
      </c>
      <c r="E21" s="78">
        <v>3</v>
      </c>
      <c r="F21" s="78">
        <v>1</v>
      </c>
      <c r="G21" s="78">
        <v>3</v>
      </c>
      <c r="H21" s="78">
        <v>3</v>
      </c>
      <c r="I21" s="79"/>
      <c r="J21" s="71">
        <f>IF(C21&gt;C20,1,0)+IF(D21&gt;D20,1,0)+IF(E21&gt;E20,1,0)+IF(F21&gt;F20,1,0)+IF(G21&gt;G20,1,0)+IF(H21&gt;H20,1,0)+IF(I21&gt;I20,1,0)</f>
        <v>4</v>
      </c>
      <c r="K21" s="55"/>
      <c r="L21" s="4"/>
      <c r="M21" s="70" t="s">
        <v>54</v>
      </c>
      <c r="N21" s="80" t="s">
        <v>45</v>
      </c>
      <c r="O21" s="78">
        <v>2</v>
      </c>
      <c r="P21" s="78">
        <v>4</v>
      </c>
      <c r="Q21" s="78">
        <v>2</v>
      </c>
      <c r="R21" s="78">
        <v>3</v>
      </c>
      <c r="S21" s="78">
        <v>1</v>
      </c>
      <c r="T21" s="78">
        <v>4</v>
      </c>
      <c r="U21" s="78">
        <v>2</v>
      </c>
      <c r="V21" s="71">
        <f>IF(O21&gt;O20,1,0)+IF(P21&gt;P20,1,0)+IF(Q21&gt;Q20,1,0)+IF(R21&gt;R20,1,0)+IF(S21&gt;S20,1,0)+IF(T21&gt;T20,1,0)+IF(U21&gt;U20,1,0)</f>
        <v>3</v>
      </c>
      <c r="W21" s="14"/>
      <c r="X21" s="4"/>
      <c r="Y21" s="90"/>
      <c r="Z21" s="83"/>
      <c r="AA21" s="89"/>
      <c r="AB21" s="89"/>
      <c r="AC21" s="89"/>
      <c r="AD21" s="89"/>
      <c r="AE21" s="89"/>
      <c r="AF21" s="89"/>
      <c r="AG21" s="89"/>
      <c r="AI21" s="4"/>
      <c r="AJ21" s="14"/>
    </row>
    <row r="22" spans="1:36" ht="13.5" thickBot="1" x14ac:dyDescent="0.25">
      <c r="A22" s="53"/>
      <c r="B22" s="83"/>
      <c r="C22" s="84"/>
      <c r="D22" s="84"/>
      <c r="E22" s="84"/>
      <c r="F22" s="84"/>
      <c r="G22" s="84"/>
      <c r="H22" s="84"/>
      <c r="I22" s="84"/>
      <c r="K22" s="4"/>
      <c r="L22" s="4"/>
      <c r="M22" s="86"/>
      <c r="N22" s="83"/>
      <c r="O22" s="87"/>
      <c r="P22" s="87"/>
      <c r="Q22" s="87"/>
      <c r="R22" s="87"/>
      <c r="S22" s="87"/>
      <c r="T22" s="87"/>
      <c r="U22" s="87"/>
      <c r="V22" s="2"/>
      <c r="W22" s="14"/>
      <c r="X22" s="13"/>
      <c r="Y22" s="70" t="s">
        <v>34</v>
      </c>
      <c r="Z22" s="80" t="s">
        <v>48</v>
      </c>
      <c r="AA22" s="78">
        <v>6</v>
      </c>
      <c r="AB22" s="78">
        <v>2</v>
      </c>
      <c r="AC22" s="78">
        <v>5</v>
      </c>
      <c r="AD22" s="78">
        <v>1</v>
      </c>
      <c r="AE22" s="78">
        <v>0</v>
      </c>
      <c r="AF22" s="78">
        <v>1</v>
      </c>
      <c r="AG22" s="78"/>
      <c r="AH22" s="71">
        <f>IF(AA22&gt;AA23,1,0)+IF(AB22&gt;AB23,1,0)+IF(AC22&gt;AC23,1,0)+IF(AD22&gt;AD23,1,0)+IF(AE22&gt;AE23,1,0)+IF(AF22&gt;AF23,1,0)+IF(AG22&gt;AG23,1,0)</f>
        <v>2</v>
      </c>
      <c r="AI22" s="13"/>
      <c r="AJ22" s="16"/>
    </row>
    <row r="23" spans="1:36" x14ac:dyDescent="0.2">
      <c r="A23" s="53"/>
      <c r="B23" s="83"/>
      <c r="C23" s="84"/>
      <c r="D23" s="84"/>
      <c r="E23" s="84"/>
      <c r="F23" s="84"/>
      <c r="G23" s="84"/>
      <c r="H23" s="84"/>
      <c r="I23" s="84"/>
      <c r="K23" s="4"/>
      <c r="L23" s="4"/>
      <c r="M23" s="86"/>
      <c r="N23" s="83"/>
      <c r="O23" s="87"/>
      <c r="P23" s="87"/>
      <c r="Q23" s="87"/>
      <c r="R23" s="87"/>
      <c r="S23" s="87"/>
      <c r="T23" s="87"/>
      <c r="U23" s="87"/>
      <c r="V23" s="2"/>
      <c r="W23" s="14"/>
      <c r="X23" s="4"/>
      <c r="Y23" s="70" t="s">
        <v>38</v>
      </c>
      <c r="Z23" s="80" t="s">
        <v>60</v>
      </c>
      <c r="AA23" s="78">
        <v>3</v>
      </c>
      <c r="AB23" s="78">
        <v>4</v>
      </c>
      <c r="AC23" s="78">
        <v>4</v>
      </c>
      <c r="AD23" s="78">
        <v>2</v>
      </c>
      <c r="AE23" s="78">
        <v>5</v>
      </c>
      <c r="AF23" s="78">
        <v>5</v>
      </c>
      <c r="AG23" s="78"/>
      <c r="AH23" s="71">
        <f>IF(AA23&gt;AA22,1,0)+IF(AB23&gt;AB22,1,0)+IF(AC23&gt;AC22,1,0)+IF(AD23&gt;AD22,1,0)+IF(AE23&gt;AE22,1,0)+IF(AF23&gt;AF22,1,0)+IF(AG23&gt;AG22,1,0)</f>
        <v>4</v>
      </c>
    </row>
    <row r="24" spans="1:36" ht="13.5" thickBot="1" x14ac:dyDescent="0.25">
      <c r="A24" s="70" t="s">
        <v>33</v>
      </c>
      <c r="B24" s="80" t="s">
        <v>44</v>
      </c>
      <c r="C24" s="78">
        <v>2</v>
      </c>
      <c r="D24" s="78">
        <v>2</v>
      </c>
      <c r="E24" s="78">
        <v>3</v>
      </c>
      <c r="F24" s="78">
        <v>1</v>
      </c>
      <c r="G24" s="78">
        <v>3</v>
      </c>
      <c r="H24" s="78">
        <v>2</v>
      </c>
      <c r="I24" s="79"/>
      <c r="J24" s="71">
        <f>IF(C24&gt;C25,1,0)+IF(D24&gt;D25,1,0)+IF(E24&gt;E25,1,0)+IF(F24&gt;F25,1,0)+IF(G24&gt;G25,1,0)+IF(H24&gt;H25,1,0)+IF(I24&gt;I25,1,0)</f>
        <v>2</v>
      </c>
      <c r="K24" s="13"/>
      <c r="L24" s="13"/>
      <c r="M24" s="70" t="s">
        <v>38</v>
      </c>
      <c r="N24" s="80" t="s">
        <v>60</v>
      </c>
      <c r="O24" s="78">
        <v>3</v>
      </c>
      <c r="P24" s="79">
        <v>2</v>
      </c>
      <c r="Q24" s="79">
        <v>4</v>
      </c>
      <c r="R24" s="79">
        <v>2</v>
      </c>
      <c r="S24" s="79">
        <v>1</v>
      </c>
      <c r="T24" s="79">
        <v>4</v>
      </c>
      <c r="U24" s="78">
        <v>2</v>
      </c>
      <c r="V24" s="71">
        <f>IF(O24&gt;O25,1,0)+IF(P24&gt;P25,1,0)+IF(Q24&gt;Q25,1,0)+IF(R24&gt;R25,1,0)+IF(S24&gt;S25,1,0)+IF(T24&gt;T25,1,0)+IF(U24&gt;U25,1,0)</f>
        <v>4</v>
      </c>
      <c r="W24" s="16"/>
      <c r="X24" s="4"/>
      <c r="Y24" s="83"/>
      <c r="Z24" s="83"/>
      <c r="AA24" s="89"/>
      <c r="AB24" s="89"/>
      <c r="AC24" s="89"/>
      <c r="AD24" s="89"/>
      <c r="AE24" s="89"/>
      <c r="AF24" s="89"/>
      <c r="AG24" s="89"/>
    </row>
    <row r="25" spans="1:36" x14ac:dyDescent="0.2">
      <c r="A25" s="70" t="s">
        <v>56</v>
      </c>
      <c r="B25" s="80" t="s">
        <v>61</v>
      </c>
      <c r="C25" s="78">
        <v>3</v>
      </c>
      <c r="D25" s="78">
        <v>1</v>
      </c>
      <c r="E25" s="78">
        <v>2</v>
      </c>
      <c r="F25" s="78">
        <v>5</v>
      </c>
      <c r="G25" s="78">
        <v>5</v>
      </c>
      <c r="H25" s="78">
        <v>4</v>
      </c>
      <c r="I25" s="79"/>
      <c r="J25" s="71">
        <f>IF(C25&gt;C24,1,0)+IF(D25&gt;D24,1,0)+IF(E25&gt;E24,1,0)+IF(F25&gt;F24,1,0)+IF(G25&gt;G24,1,0)+IF(H25&gt;H24,1,0)+IF(I25&gt;I24,1,0)</f>
        <v>4</v>
      </c>
      <c r="K25" s="14"/>
      <c r="L25" s="4"/>
      <c r="M25" s="70" t="s">
        <v>56</v>
      </c>
      <c r="N25" s="80" t="s">
        <v>61</v>
      </c>
      <c r="O25" s="78">
        <v>2</v>
      </c>
      <c r="P25" s="79">
        <v>4</v>
      </c>
      <c r="Q25" s="79">
        <v>3</v>
      </c>
      <c r="R25" s="79">
        <v>4</v>
      </c>
      <c r="S25" s="79">
        <v>2</v>
      </c>
      <c r="T25" s="79">
        <v>1</v>
      </c>
      <c r="U25" s="78">
        <v>1</v>
      </c>
      <c r="V25" s="71">
        <f>IF(O25&gt;O24,1,0)+IF(P25&gt;P24,1,0)+IF(Q25&gt;Q24,1,0)+IF(R25&gt;R24,1,0)+IF(S25&gt;S24,1,0)+IF(T25&gt;T24,1,0)+IF(U25&gt;U24,1,0)</f>
        <v>3</v>
      </c>
      <c r="Y25" s="83"/>
      <c r="Z25" s="83"/>
      <c r="AA25" s="89"/>
      <c r="AB25" s="89"/>
      <c r="AC25" s="89"/>
      <c r="AD25" s="89"/>
      <c r="AE25" s="89"/>
      <c r="AF25" s="89"/>
      <c r="AG25" s="89"/>
    </row>
    <row r="26" spans="1:36" x14ac:dyDescent="0.2">
      <c r="A26" s="53"/>
      <c r="B26" s="83"/>
      <c r="C26" s="84"/>
      <c r="D26" s="84"/>
      <c r="E26" s="84"/>
      <c r="F26" s="84"/>
      <c r="G26" s="84"/>
      <c r="H26" s="84"/>
      <c r="I26" s="84"/>
      <c r="K26" s="14"/>
      <c r="L26" s="4"/>
      <c r="M26" s="83"/>
      <c r="N26" s="83"/>
      <c r="O26" s="85"/>
      <c r="P26" s="85"/>
      <c r="Q26" s="85"/>
      <c r="R26" s="85"/>
      <c r="S26" s="85"/>
      <c r="T26" s="85"/>
      <c r="U26" s="85"/>
      <c r="Y26" s="83"/>
      <c r="Z26" s="83"/>
      <c r="AA26" s="89"/>
      <c r="AB26" s="89"/>
      <c r="AC26" s="89"/>
      <c r="AD26" s="89"/>
      <c r="AE26" s="89"/>
      <c r="AF26" s="89"/>
      <c r="AG26" s="89"/>
    </row>
    <row r="27" spans="1:36" ht="13.5" thickBot="1" x14ac:dyDescent="0.25">
      <c r="A27" s="70" t="s">
        <v>34</v>
      </c>
      <c r="B27" s="80" t="s">
        <v>48</v>
      </c>
      <c r="C27" s="78">
        <v>5</v>
      </c>
      <c r="D27" s="78">
        <v>3</v>
      </c>
      <c r="E27" s="79">
        <v>3</v>
      </c>
      <c r="F27" s="79">
        <v>0</v>
      </c>
      <c r="G27" s="78">
        <v>5</v>
      </c>
      <c r="H27" s="79">
        <v>2</v>
      </c>
      <c r="I27" s="78">
        <v>5</v>
      </c>
      <c r="J27" s="71">
        <f>IF(C27&gt;C28,1,0)+IF(D27&gt;D28,1,0)+IF(E27&gt;E28,1,0)+IF(F27&gt;F28,1,0)+IF(G27&gt;G28,1,0)+IF(H27&gt;H28,1,0)+IF(I27&gt;I28,1,0)</f>
        <v>4</v>
      </c>
      <c r="K27" s="16"/>
      <c r="L27" s="4"/>
      <c r="M27" s="83"/>
      <c r="N27" s="83"/>
      <c r="O27" s="85"/>
      <c r="P27" s="85"/>
      <c r="Q27" s="85"/>
      <c r="R27" s="85"/>
      <c r="S27" s="85"/>
      <c r="T27" s="85"/>
      <c r="U27" s="85"/>
      <c r="Y27" s="83"/>
      <c r="Z27" s="83"/>
      <c r="AA27" s="89"/>
      <c r="AB27" s="89"/>
      <c r="AC27" s="89"/>
      <c r="AD27" s="89"/>
      <c r="AE27" s="89"/>
      <c r="AF27" s="89"/>
      <c r="AG27" s="89"/>
    </row>
    <row r="28" spans="1:36" x14ac:dyDescent="0.2">
      <c r="A28" s="70" t="s">
        <v>35</v>
      </c>
      <c r="B28" s="80" t="s">
        <v>47</v>
      </c>
      <c r="C28" s="78">
        <v>2</v>
      </c>
      <c r="D28" s="78">
        <v>5</v>
      </c>
      <c r="E28" s="78">
        <v>6</v>
      </c>
      <c r="F28" s="79">
        <v>5</v>
      </c>
      <c r="G28" s="78">
        <v>2</v>
      </c>
      <c r="H28" s="79">
        <v>1</v>
      </c>
      <c r="I28" s="78">
        <v>4</v>
      </c>
      <c r="J28" s="71">
        <f>IF(C28&gt;C27,1,0)+IF(D28&gt;D27,1,0)+IF(E28&gt;E27,1,0)+IF(F28&gt;F27,1,0)+IF(G28&gt;G27,1,0)+IF(H28&gt;H27,1,0)+IF(I28&gt;I27,1,0)</f>
        <v>3</v>
      </c>
      <c r="M28" s="1"/>
      <c r="O28" s="52"/>
      <c r="P28" s="52"/>
      <c r="Q28" s="52"/>
      <c r="R28" s="52"/>
      <c r="S28" s="52"/>
      <c r="T28" s="52"/>
      <c r="U28" s="52"/>
      <c r="Y28" s="83"/>
      <c r="Z28" s="83"/>
      <c r="AA28" s="89"/>
      <c r="AB28" s="89"/>
      <c r="AC28" s="89"/>
      <c r="AD28" s="89"/>
      <c r="AE28" s="89"/>
      <c r="AF28" s="89"/>
      <c r="AG28" s="89"/>
    </row>
    <row r="29" spans="1:36" x14ac:dyDescent="0.2">
      <c r="A29" s="53"/>
      <c r="B29" s="83"/>
      <c r="C29" s="84"/>
      <c r="D29" s="84"/>
      <c r="E29" s="84"/>
      <c r="F29" s="84"/>
      <c r="G29" s="84"/>
      <c r="H29" s="84"/>
      <c r="I29" s="84"/>
      <c r="M29" s="1"/>
      <c r="O29" s="52"/>
      <c r="P29" s="52"/>
      <c r="Q29" s="52"/>
      <c r="R29" s="52"/>
      <c r="S29" s="52"/>
      <c r="T29" s="52"/>
      <c r="U29" s="52"/>
      <c r="Y29" s="1"/>
      <c r="AA29" s="51"/>
      <c r="AB29" s="51"/>
      <c r="AC29" s="51"/>
      <c r="AD29" s="51"/>
      <c r="AE29" s="51"/>
      <c r="AF29" s="51"/>
    </row>
    <row r="30" spans="1:36" x14ac:dyDescent="0.2">
      <c r="A30" s="53"/>
      <c r="B30" s="83"/>
      <c r="C30" s="84"/>
      <c r="D30" s="84"/>
      <c r="E30" s="84"/>
      <c r="F30" s="84"/>
      <c r="G30" s="84"/>
      <c r="H30" s="84"/>
      <c r="I30" s="84"/>
      <c r="M30" s="1"/>
      <c r="O30" s="52"/>
      <c r="P30" s="52"/>
      <c r="Q30" s="52"/>
      <c r="R30" s="52"/>
      <c r="S30" s="52"/>
      <c r="T30" s="52"/>
      <c r="U30" s="52"/>
    </row>
    <row r="31" spans="1:36" x14ac:dyDescent="0.2">
      <c r="A31" s="53"/>
      <c r="C31" s="54"/>
      <c r="D31" s="54"/>
      <c r="E31" s="54"/>
      <c r="F31" s="54"/>
      <c r="G31" s="54"/>
      <c r="H31" s="54"/>
      <c r="I31" s="54"/>
      <c r="M31" s="1"/>
      <c r="O31" s="52"/>
      <c r="P31" s="52"/>
      <c r="Q31" s="52"/>
      <c r="R31" s="52"/>
      <c r="S31" s="52"/>
      <c r="T31" s="52"/>
      <c r="U31" s="52"/>
    </row>
  </sheetData>
  <phoneticPr fontId="2" type="noConversion"/>
  <conditionalFormatting sqref="C3:I3 C6:I6 O20:U20 C13:I13 AA8:AG8 AA15:AG15 O10:U10 O6:Q6 C10:I10 C24 C20:E20 C17:I17 O24:U24 AA22:AG22 F24:I24 G20:I20 C27:I27 S6:U6">
    <cfRule type="cellIs" dxfId="19" priority="27" stopIfTrue="1" operator="greaterThan">
      <formula>C4</formula>
    </cfRule>
  </conditionalFormatting>
  <conditionalFormatting sqref="C4:I4 C7:I7 O21:U21 C14:I14 AA9:AG9 AA16:AG16 O11:U11 O7:Q7 C11:I11 C25 C21:E21 C18:I18 O25:U25 AA23:AG23 F25:I25 G21:I21 C28:I28 S7:U7">
    <cfRule type="cellIs" dxfId="18" priority="28" stopIfTrue="1" operator="greaterThan">
      <formula>C3</formula>
    </cfRule>
  </conditionalFormatting>
  <conditionalFormatting sqref="C3:I3 C6:I6 O20:U20 C13:I13 AA8:AG8 AA15:AG15 O10:U10 O6:Q6 C10:I10 C24 C20:E20 C17:I17 O24:U24 AA22:AG22 F24:I24 G20:I20 C27:I27 S6:U6">
    <cfRule type="cellIs" dxfId="17" priority="18" stopIfTrue="1" operator="greaterThan">
      <formula>C4</formula>
    </cfRule>
  </conditionalFormatting>
  <conditionalFormatting sqref="C4:I4 C7:I7 O21:U21 C14:I14 AA9:AG9 AA16:AG16 O11:U11 O7:Q7 C11:I11 C25 C21:E21 C18:I18 O25:U25 AA23:AG23 F25:I25 G21:I21 C28:I28 S7:U7">
    <cfRule type="cellIs" dxfId="16" priority="17" stopIfTrue="1" operator="greaterThan">
      <formula>C3</formula>
    </cfRule>
  </conditionalFormatting>
  <conditionalFormatting sqref="D24">
    <cfRule type="cellIs" dxfId="15" priority="15" stopIfTrue="1" operator="greaterThan">
      <formula>D25</formula>
    </cfRule>
  </conditionalFormatting>
  <conditionalFormatting sqref="D25">
    <cfRule type="cellIs" dxfId="14" priority="16" stopIfTrue="1" operator="greaterThan">
      <formula>D24</formula>
    </cfRule>
  </conditionalFormatting>
  <conditionalFormatting sqref="D24">
    <cfRule type="cellIs" dxfId="13" priority="14" stopIfTrue="1" operator="greaterThan">
      <formula>D25</formula>
    </cfRule>
  </conditionalFormatting>
  <conditionalFormatting sqref="D25">
    <cfRule type="cellIs" dxfId="12" priority="13" stopIfTrue="1" operator="greaterThan">
      <formula>D24</formula>
    </cfRule>
  </conditionalFormatting>
  <conditionalFormatting sqref="E24">
    <cfRule type="cellIs" dxfId="11" priority="11" stopIfTrue="1" operator="greaterThan">
      <formula>E25</formula>
    </cfRule>
  </conditionalFormatting>
  <conditionalFormatting sqref="E25">
    <cfRule type="cellIs" dxfId="10" priority="12" stopIfTrue="1" operator="greaterThan">
      <formula>E24</formula>
    </cfRule>
  </conditionalFormatting>
  <conditionalFormatting sqref="E24">
    <cfRule type="cellIs" dxfId="9" priority="10" stopIfTrue="1" operator="greaterThan">
      <formula>E25</formula>
    </cfRule>
  </conditionalFormatting>
  <conditionalFormatting sqref="E25">
    <cfRule type="cellIs" dxfId="8" priority="9" stopIfTrue="1" operator="greaterThan">
      <formula>E24</formula>
    </cfRule>
  </conditionalFormatting>
  <conditionalFormatting sqref="F20">
    <cfRule type="cellIs" dxfId="7" priority="7" stopIfTrue="1" operator="greaterThan">
      <formula>F21</formula>
    </cfRule>
  </conditionalFormatting>
  <conditionalFormatting sqref="F21">
    <cfRule type="cellIs" dxfId="6" priority="8" stopIfTrue="1" operator="greaterThan">
      <formula>F20</formula>
    </cfRule>
  </conditionalFormatting>
  <conditionalFormatting sqref="F20">
    <cfRule type="cellIs" dxfId="5" priority="6" stopIfTrue="1" operator="greaterThan">
      <formula>F21</formula>
    </cfRule>
  </conditionalFormatting>
  <conditionalFormatting sqref="F21">
    <cfRule type="cellIs" dxfId="4" priority="5" stopIfTrue="1" operator="greaterThan">
      <formula>F20</formula>
    </cfRule>
  </conditionalFormatting>
  <conditionalFormatting sqref="R6">
    <cfRule type="cellIs" dxfId="3" priority="3" stopIfTrue="1" operator="greaterThan">
      <formula>R7</formula>
    </cfRule>
  </conditionalFormatting>
  <conditionalFormatting sqref="R7">
    <cfRule type="cellIs" dxfId="2" priority="4" stopIfTrue="1" operator="greaterThan">
      <formula>R6</formula>
    </cfRule>
  </conditionalFormatting>
  <conditionalFormatting sqref="R6">
    <cfRule type="cellIs" dxfId="1" priority="2" stopIfTrue="1" operator="greaterThan">
      <formula>R7</formula>
    </cfRule>
  </conditionalFormatting>
  <conditionalFormatting sqref="R7">
    <cfRule type="cellIs" dxfId="0" priority="1" stopIfTrue="1" operator="greaterThan">
      <formula>R6</formula>
    </cfRule>
  </conditionalFormatting>
  <pageMargins left="0.78740157480314965" right="0.78740157480314965" top="0.78740157480314965" bottom="0.78740157480314965" header="0.39370078740157483" footer="0.39370078740157483"/>
  <pageSetup paperSize="5" orientation="landscape" r:id="rId1"/>
  <headerFooter alignWithMargins="0">
    <oddHeader>&amp;L&amp;"Arial,Gras"&amp;20Séries éliminatoires&amp;R&amp;"Arial,Italique"
Dernière mise à jour: &amp;"Arial,Gras italique"&amp;D - &amp;T</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12</vt:i4>
      </vt:variant>
    </vt:vector>
  </HeadingPairs>
  <TitlesOfParts>
    <vt:vector size="14" baseType="lpstr">
      <vt:lpstr>Pool</vt:lpstr>
      <vt:lpstr>Résultats</vt:lpstr>
      <vt:lpstr>PT_PREDICTION_EQUIPE_R1</vt:lpstr>
      <vt:lpstr>PT_PREDICTION_EQUIPE_R2</vt:lpstr>
      <vt:lpstr>PT_PREDICTION_EQUIPE_R3</vt:lpstr>
      <vt:lpstr>PT_PREDICTION_EQUIPE_R4</vt:lpstr>
      <vt:lpstr>PT_PREDICTION_NB_PARTIES_R1</vt:lpstr>
      <vt:lpstr>PT_PREDICTION_NB_PARTIES_R2</vt:lpstr>
      <vt:lpstr>PT_PREDICTION_NB_PARTIES_R3</vt:lpstr>
      <vt:lpstr>PT_PREDICTION_NB_PARTIES_R4</vt:lpstr>
      <vt:lpstr>PT_VICTOIRE_R1</vt:lpstr>
      <vt:lpstr>PT_VICTOIRE_R2</vt:lpstr>
      <vt:lpstr>PT_VICTOIRE_R3</vt:lpstr>
      <vt:lpstr>PT_VICTOIRE_R4</vt:lpstr>
    </vt:vector>
  </TitlesOfParts>
  <Company>Ville de Laval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Alexandre Levac</dc:creator>
  <cp:lastModifiedBy>r.tiefengraber</cp:lastModifiedBy>
  <cp:lastPrinted>2019-05-15T10:44:44Z</cp:lastPrinted>
  <dcterms:created xsi:type="dcterms:W3CDTF">2007-04-21T15:38:41Z</dcterms:created>
  <dcterms:modified xsi:type="dcterms:W3CDTF">2019-06-13T09:48:40Z</dcterms:modified>
</cp:coreProperties>
</file>